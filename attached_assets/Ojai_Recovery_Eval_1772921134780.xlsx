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sheetId="1" r:id="rId5"/>
    <sheet state="visible" name="Jan 2026" sheetId="2" r:id="rId6"/>
    <sheet state="visible" name="Copy of Jan 2026" sheetId="3" r:id="rId7"/>
    <sheet state="visible" name="Sheet4" sheetId="4" r:id="rId8"/>
    <sheet state="visible" name="redirect map" sheetId="5" r:id="rId9"/>
    <sheet state="visible" name="Sheet6" sheetId="6" r:id="rId10"/>
  </sheets>
  <definedNames>
    <definedName hidden="1" localSheetId="2" name="_xlnm._FilterDatabase">'Copy of Jan 2026'!$A$1:$BF$11</definedName>
    <definedName hidden="1" localSheetId="3" name="_xlnm._FilterDatabase">Sheet4!$A$1:$BF$1000</definedName>
    <definedName hidden="1" localSheetId="4" name="_xlnm._FilterDatabase">'redirect map'!$A$1:$CN$1000</definedName>
  </definedNames>
  <calcPr/>
</workbook>
</file>

<file path=xl/sharedStrings.xml><?xml version="1.0" encoding="utf-8"?>
<sst xmlns="http://schemas.openxmlformats.org/spreadsheetml/2006/main" count="3351" uniqueCount="1286">
  <si>
    <t>Name</t>
  </si>
  <si>
    <r>
      <rPr>
        <rFont val="Arial"/>
        <b/>
        <color theme="1"/>
      </rPr>
      <t xml:space="preserve">Website URL
</t>
    </r>
    <r>
      <rPr>
        <rFont val="Arial"/>
        <b val="0"/>
        <i/>
        <color theme="1"/>
      </rPr>
      <t>Main domain used for evaluation</t>
    </r>
  </si>
  <si>
    <t>WHOIS REG</t>
  </si>
  <si>
    <t>AGE</t>
  </si>
  <si>
    <t>RANK</t>
  </si>
  <si>
    <r>
      <rPr>
        <rFont val="Arial"/>
        <b/>
        <color theme="1"/>
        <sz val="11.0"/>
      </rPr>
      <t xml:space="preserve">FIRST ARCHIVE
</t>
    </r>
    <r>
      <rPr>
        <rFont val="Arial"/>
        <b val="0"/>
        <i/>
        <color theme="1"/>
        <sz val="11.0"/>
      </rPr>
      <t xml:space="preserve">First date captured in Wayback Machine </t>
    </r>
  </si>
  <si>
    <t>ARCHIVE AGE</t>
  </si>
  <si>
    <t>DR</t>
  </si>
  <si>
    <t>Referring Domains (RD)</t>
  </si>
  <si>
    <t>Backlinks (BL)</t>
  </si>
  <si>
    <t>Indexed Pages</t>
  </si>
  <si>
    <t>AI Visibility Score (SEMrush)</t>
  </si>
  <si>
    <t>Mentions (AI Responses)</t>
  </si>
  <si>
    <t>Cited Sources (AI)</t>
  </si>
  <si>
    <t>Organic Keywords</t>
  </si>
  <si>
    <t>Top 10 Keywords</t>
  </si>
  <si>
    <t xml:space="preserve">Informational Keywords - US only </t>
  </si>
  <si>
    <t xml:space="preserve">featured snippet / AIO </t>
  </si>
  <si>
    <t>Organic Traffic</t>
  </si>
  <si>
    <r>
      <rPr>
        <rFont val="Arial"/>
        <b/>
        <color theme="1"/>
      </rPr>
      <t xml:space="preserve">KW Velocity (KW ÷ Age)
</t>
    </r>
    <r>
      <rPr>
        <rFont val="Arial"/>
        <b val="0"/>
        <i/>
        <color theme="1"/>
      </rPr>
      <t>Growth rate of ranking keywords per year</t>
    </r>
  </si>
  <si>
    <r>
      <rPr>
        <rFont val="Arial"/>
        <b/>
        <color theme="1"/>
      </rPr>
      <t xml:space="preserve">Snippet Velocity (Snippets ÷ Age)
</t>
    </r>
    <r>
      <rPr>
        <rFont val="Arial"/>
        <b val="0"/>
        <i/>
        <color theme="1"/>
      </rPr>
      <t xml:space="preserve">Growth rate of snippets earned per year
</t>
    </r>
    <r>
      <rPr>
        <rFont val="Arial"/>
        <b val="0"/>
        <color theme="1"/>
      </rPr>
      <t xml:space="preserve"> faster snippet growth = more visibility in AI answers</t>
    </r>
  </si>
  <si>
    <r>
      <rPr>
        <rFont val="Arial"/>
        <b/>
        <color theme="1"/>
      </rPr>
      <t xml:space="preserve">RD Velocity (RD ÷ Age)
</t>
    </r>
    <r>
      <rPr>
        <rFont val="Arial"/>
        <b val="0"/>
        <i/>
        <color theme="1"/>
      </rPr>
      <t xml:space="preserve">Growth rate of referring domains per year
</t>
    </r>
    <r>
      <rPr>
        <rFont val="Arial"/>
        <b/>
        <color theme="1"/>
      </rPr>
      <t>faster link growth = more brand mentions in AI</t>
    </r>
  </si>
  <si>
    <r>
      <rPr>
        <rFont val="Arial"/>
        <b/>
        <color theme="1"/>
      </rPr>
      <t xml:space="preserve">Content Velocity (Pages ÷ Age)
</t>
    </r>
    <r>
      <rPr>
        <rFont val="Arial"/>
        <b val="0"/>
        <i/>
        <color theme="1"/>
      </rPr>
      <t xml:space="preserve">Growth rate of indexed content per year
</t>
    </r>
    <r>
      <rPr>
        <rFont val="Arial"/>
        <b/>
        <color theme="1"/>
      </rPr>
      <t>more content growth = more opportunities for mentions</t>
    </r>
  </si>
  <si>
    <r>
      <rPr>
        <rFont val="Arial"/>
        <b/>
        <color theme="1"/>
      </rPr>
      <t xml:space="preserve">KW Yield (OT ÷ # of Keywords)
</t>
    </r>
    <r>
      <rPr>
        <rFont val="Arial"/>
        <b val="0"/>
        <i/>
        <color theme="1"/>
      </rPr>
      <t xml:space="preserve">Traffic efficiency per top-ranking keyword 
</t>
    </r>
    <r>
      <rPr>
        <rFont val="Arial"/>
        <b val="0"/>
        <color theme="1"/>
      </rPr>
      <t>efficient traffic per keyword = stronger chance of surfacing in AI</t>
    </r>
  </si>
  <si>
    <r>
      <rPr>
        <rFont val="Arial"/>
        <b/>
        <color theme="1"/>
      </rPr>
      <t xml:space="preserve">Snippet Yield (OT ÷ Snippets)
</t>
    </r>
    <r>
      <rPr>
        <rFont val="Arial"/>
        <b val="0"/>
        <i/>
        <color theme="1"/>
      </rPr>
      <t xml:space="preserve">Traffic efficiency per snippet earned </t>
    </r>
  </si>
  <si>
    <r>
      <rPr>
        <rFont val="Arial"/>
        <b/>
        <color theme="1"/>
      </rPr>
      <t xml:space="preserve">Mention Rate (%) = Mentions / Cited Sources
</t>
    </r>
    <r>
      <rPr>
        <rFont val="Arial"/>
        <b val="0"/>
        <i/>
        <color theme="1"/>
      </rPr>
      <t xml:space="preserve">Shows efficiency — when you are mentioned, how often are you also cited as the trusted source?
</t>
    </r>
    <r>
      <rPr>
        <rFont val="Arial"/>
        <b/>
        <color theme="1"/>
      </rPr>
      <t>higher efficiency of mentions converting into citations</t>
    </r>
  </si>
  <si>
    <r>
      <rPr>
        <rFont val="Arial"/>
        <b/>
        <color theme="1"/>
      </rPr>
      <t xml:space="preserve">RD Yield (OT ÷ RD)
</t>
    </r>
    <r>
      <rPr>
        <rFont val="Arial"/>
        <b val="0"/>
        <i/>
        <color theme="1"/>
      </rPr>
      <t>Traffic efficiency per referring domain</t>
    </r>
  </si>
  <si>
    <r>
      <rPr>
        <rFont val="Arial"/>
        <b/>
        <color theme="1"/>
      </rPr>
      <t xml:space="preserve">Content Yield (OT ÷ Pages)
</t>
    </r>
    <r>
      <rPr>
        <rFont val="Arial"/>
        <b val="0"/>
        <i/>
        <color theme="1"/>
      </rPr>
      <t>Traffic efficiency per indexed page</t>
    </r>
  </si>
  <si>
    <r>
      <rPr>
        <rFont val="Arial"/>
        <b/>
        <color theme="1"/>
      </rPr>
      <t xml:space="preserve">Backlink Density (BL ÷ RD)
</t>
    </r>
    <r>
      <rPr>
        <rFont val="Arial"/>
        <b val="0"/>
        <i/>
        <color theme="1"/>
      </rPr>
      <t xml:space="preserve">Ratio of backlinks per referring domain 
</t>
    </r>
    <r>
      <rPr>
        <rFont val="Arial"/>
        <b/>
        <color theme="1"/>
      </rPr>
      <t>higher quality link mix = stronger mention likelihood</t>
    </r>
  </si>
  <si>
    <r>
      <rPr>
        <rFont val="Arial"/>
        <b/>
        <color theme="1"/>
      </rPr>
      <t xml:space="preserve">Informational Density (Info KW ÷ Total KW)
</t>
    </r>
    <r>
      <rPr>
        <rFont val="Arial"/>
        <b val="0"/>
        <i/>
        <color theme="1"/>
      </rPr>
      <t xml:space="preserve">Share of content focused on informational queries
</t>
    </r>
    <r>
      <rPr>
        <rFont val="Arial"/>
        <b val="0"/>
        <color theme="1"/>
      </rPr>
      <t xml:space="preserve">More informational content = higher AI visbility </t>
    </r>
  </si>
  <si>
    <r>
      <rPr>
        <rFont val="Arial"/>
        <b/>
        <color theme="1"/>
      </rPr>
      <t xml:space="preserve">Final Score 
</t>
    </r>
    <r>
      <rPr>
        <rFont val="Arial"/>
        <b val="0"/>
        <color theme="1"/>
      </rPr>
      <t xml:space="preserve">Total score across all metrics </t>
    </r>
  </si>
  <si>
    <r>
      <rPr>
        <rFont val="Arial"/>
        <b/>
        <color theme="1"/>
      </rPr>
      <t xml:space="preserve">Average Rank
</t>
    </r>
    <r>
      <rPr>
        <rFont val="Arial"/>
        <i/>
        <color theme="1"/>
      </rPr>
      <t>Average position rank vs competitors</t>
    </r>
  </si>
  <si>
    <t>Rank</t>
  </si>
  <si>
    <t>https://sd-wellness.com/</t>
  </si>
  <si>
    <t>https://atoncenter.com/</t>
  </si>
  <si>
    <t>https://casapalmera.com/</t>
  </si>
  <si>
    <t>https://villaoasissandiego.com/</t>
  </si>
  <si>
    <t>https://lilacrecoverycenter.com/</t>
  </si>
  <si>
    <t>https://immersiverecovery.com/</t>
  </si>
  <si>
    <t>https://www.shorelinerecoverycenter.com/</t>
  </si>
  <si>
    <t>https://steppingstonesd.org/</t>
  </si>
  <si>
    <t>https://www.newdirectionsforwomen.org/</t>
  </si>
  <si>
    <t>https://lajollarecovery.com/</t>
  </si>
  <si>
    <t>MEAN (average)</t>
  </si>
  <si>
    <t>MEDIAN</t>
  </si>
  <si>
    <t>MAX</t>
  </si>
  <si>
    <t>MIN</t>
  </si>
  <si>
    <r>
      <rPr>
        <rFont val="Arial"/>
        <b/>
        <color theme="1"/>
      </rPr>
      <t xml:space="preserve">Website URL
</t>
    </r>
    <r>
      <rPr>
        <rFont val="Arial"/>
        <b val="0"/>
        <i/>
        <color theme="1"/>
      </rPr>
      <t>Main domain used for evaluation</t>
    </r>
  </si>
  <si>
    <r>
      <rPr>
        <rFont val="Arial"/>
        <b/>
        <sz val="11.0"/>
      </rPr>
      <t xml:space="preserve">WHOIS REG
</t>
    </r>
    <r>
      <rPr>
        <rFont val="Arial"/>
        <b/>
        <color rgb="FF1155CC"/>
        <sz val="11.0"/>
        <u/>
      </rPr>
      <t>Godaddy whois</t>
    </r>
  </si>
  <si>
    <r>
      <rPr>
        <rFont val="Arial"/>
        <b/>
        <sz val="11.0"/>
      </rPr>
      <t xml:space="preserve">FIRST ARCHIVE
</t>
    </r>
    <r>
      <rPr>
        <rFont val="Arial"/>
        <b val="0"/>
        <i/>
        <sz val="11.0"/>
      </rPr>
      <t xml:space="preserve">First date captured in </t>
    </r>
    <r>
      <rPr>
        <rFont val="Arial"/>
        <b val="0"/>
        <i/>
        <color rgb="FF1155CC"/>
        <sz val="11.0"/>
        <u/>
      </rPr>
      <t xml:space="preserve">Wayback Machine </t>
    </r>
  </si>
  <si>
    <r>
      <rPr>
        <rFont val="Arial"/>
        <b/>
      </rPr>
      <t xml:space="preserve">DR 
</t>
    </r>
    <r>
      <rPr>
        <rFont val="Arial"/>
        <b val="0"/>
      </rPr>
      <t xml:space="preserve">Ahrefs - </t>
    </r>
    <r>
      <rPr>
        <rFont val="Arial"/>
        <b val="0"/>
        <color rgb="FF1155CC"/>
        <u/>
      </rPr>
      <t xml:space="preserve">batch analysis </t>
    </r>
    <r>
      <rPr>
        <rFont val="Arial"/>
        <b/>
      </rPr>
      <t xml:space="preserve"> set to US only </t>
    </r>
  </si>
  <si>
    <r>
      <rPr>
        <rFont val="Arial"/>
        <b/>
        <color theme="1"/>
      </rPr>
      <t xml:space="preserve">Referring Domains (RD)
</t>
    </r>
    <r>
      <rPr>
        <rFont val="Arial"/>
        <b val="0"/>
        <color theme="1"/>
      </rPr>
      <t xml:space="preserve">Ahrefs - batch analysis </t>
    </r>
  </si>
  <si>
    <r>
      <rPr>
        <rFont val="Arial"/>
        <b/>
        <color theme="1"/>
      </rPr>
      <t xml:space="preserve">Backlinks (BL)
</t>
    </r>
    <r>
      <rPr>
        <rFont val="Arial"/>
        <b val="0"/>
        <color theme="1"/>
      </rPr>
      <t xml:space="preserve">Ahrefs - batch analysis </t>
    </r>
  </si>
  <si>
    <r>
      <rPr>
        <rFont val="Arial"/>
        <b/>
        <color theme="1"/>
      </rPr>
      <t xml:space="preserve">Indexed Pages
</t>
    </r>
    <r>
      <rPr>
        <rFont val="Arial"/>
        <b val="0"/>
        <color theme="1"/>
      </rPr>
      <t xml:space="preserve">site:domain 
Tools &gt; # of pages </t>
    </r>
  </si>
  <si>
    <r>
      <rPr>
        <rFont val="Arial"/>
        <b/>
        <color theme="1"/>
      </rPr>
      <t xml:space="preserve">AI Visibility Score 
</t>
    </r>
    <r>
      <rPr>
        <rFont val="Arial"/>
        <b val="0"/>
        <color theme="1"/>
      </rPr>
      <t>SEMrush AI tool</t>
    </r>
  </si>
  <si>
    <r>
      <rPr>
        <rFont val="Arial"/>
        <b/>
        <color theme="1"/>
      </rPr>
      <t xml:space="preserve">Mentions (AI Responses)
</t>
    </r>
    <r>
      <rPr>
        <rFont val="Arial"/>
        <b val="0"/>
        <color theme="1"/>
      </rPr>
      <t>SEMrush AI tool</t>
    </r>
  </si>
  <si>
    <r>
      <rPr>
        <rFont val="Arial"/>
        <b/>
        <color theme="1"/>
      </rPr>
      <t xml:space="preserve">Cited Sources 
</t>
    </r>
    <r>
      <rPr>
        <rFont val="Arial"/>
        <b val="0"/>
        <color theme="1"/>
      </rPr>
      <t>SEMrush AI tool</t>
    </r>
  </si>
  <si>
    <r>
      <rPr>
        <rFont val="Arial"/>
        <b/>
        <color theme="1"/>
      </rPr>
      <t xml:space="preserve">Organic Keywords
</t>
    </r>
    <r>
      <rPr>
        <rFont val="Arial"/>
        <b val="0"/>
        <color theme="1"/>
      </rPr>
      <t xml:space="preserve">Ahrefs - batch analysis </t>
    </r>
  </si>
  <si>
    <r>
      <rPr>
        <rFont val="Arial"/>
        <b/>
        <color theme="1"/>
      </rPr>
      <t xml:space="preserve">Top 10 Keywords
</t>
    </r>
    <r>
      <rPr>
        <rFont val="Arial"/>
        <b val="0"/>
        <color theme="1"/>
      </rPr>
      <t xml:space="preserve">Ahrefs - batch analysis  Top 1-3 +Top 4-10 </t>
    </r>
  </si>
  <si>
    <r>
      <rPr>
        <rFont val="Arial"/>
        <b/>
      </rPr>
      <t xml:space="preserve">Informational Keywords - US only 
</t>
    </r>
    <r>
      <rPr>
        <rFont val="Arial"/>
        <b val="0"/>
        <color rgb="FF1155CC"/>
        <u/>
      </rPr>
      <t>Ahrefs Site Explorer</t>
    </r>
    <r>
      <rPr>
        <rFont val="Arial"/>
        <b val="0"/>
      </rPr>
      <t>,&gt; Organic Keywords Report, US only, Intent &gt; Informational</t>
    </r>
  </si>
  <si>
    <r>
      <rPr>
        <rFont val="Arial"/>
        <b/>
        <color theme="1"/>
      </rPr>
      <t xml:space="preserve">featured snippet / AIO 
</t>
    </r>
    <r>
      <rPr>
        <rFont val="Arial"/>
        <b val="0"/>
        <color theme="1"/>
      </rPr>
      <t xml:space="preserve">Organic Keywords report &gt; + Add filter &gt; SERP features &gt; Current, Include Target In, Featured Snippet, AI Overview, Any </t>
    </r>
  </si>
  <si>
    <r>
      <rPr>
        <rFont val="Arial"/>
        <b/>
        <color theme="1"/>
      </rPr>
      <t xml:space="preserve">Organic Traffic
</t>
    </r>
    <r>
      <rPr>
        <rFont val="Arial"/>
        <b val="0"/>
        <color theme="1"/>
      </rPr>
      <t xml:space="preserve">Ahrefs - batch analysis </t>
    </r>
  </si>
  <si>
    <r>
      <rPr>
        <rFont val="Arial"/>
        <b/>
        <color theme="1"/>
      </rPr>
      <t xml:space="preserve">KW Velocity (KW ÷ Age)
</t>
    </r>
    <r>
      <rPr>
        <rFont val="Arial"/>
        <b val="0"/>
        <i/>
        <color theme="1"/>
      </rPr>
      <t>Growth rate of ranking keywords per year</t>
    </r>
  </si>
  <si>
    <r>
      <rPr>
        <rFont val="Arial"/>
        <b/>
        <color theme="1"/>
      </rPr>
      <t xml:space="preserve">Snippet Velocity (Snippets ÷ Age)
</t>
    </r>
    <r>
      <rPr>
        <rFont val="Arial"/>
        <b val="0"/>
        <i/>
        <color theme="1"/>
      </rPr>
      <t xml:space="preserve">Growth rate of snippets earned per year
</t>
    </r>
    <r>
      <rPr>
        <rFont val="Arial"/>
        <b val="0"/>
        <color theme="1"/>
      </rPr>
      <t xml:space="preserve"> faster snippet growth = more visibility in AI answers</t>
    </r>
  </si>
  <si>
    <r>
      <rPr>
        <rFont val="Arial"/>
        <b/>
        <color theme="1"/>
      </rPr>
      <t xml:space="preserve">RD Velocity (RD ÷ Age)
</t>
    </r>
    <r>
      <rPr>
        <rFont val="Arial"/>
        <b val="0"/>
        <i/>
        <color theme="1"/>
      </rPr>
      <t xml:space="preserve">Growth rate of referring domains per year
</t>
    </r>
    <r>
      <rPr>
        <rFont val="Arial"/>
        <b/>
        <color theme="1"/>
      </rPr>
      <t>faster link growth = more brand mentions in AI</t>
    </r>
  </si>
  <si>
    <r>
      <rPr>
        <rFont val="Arial"/>
        <b/>
        <color theme="1"/>
      </rPr>
      <t xml:space="preserve">Content Velocity (Pages ÷ Age)
</t>
    </r>
    <r>
      <rPr>
        <rFont val="Arial"/>
        <b val="0"/>
        <i/>
        <color theme="1"/>
      </rPr>
      <t xml:space="preserve">Growth rate of indexed content per year
</t>
    </r>
    <r>
      <rPr>
        <rFont val="Arial"/>
        <b/>
        <color theme="1"/>
      </rPr>
      <t>more content growth = more opportunities for mentions</t>
    </r>
  </si>
  <si>
    <r>
      <rPr>
        <rFont val="Arial"/>
        <b/>
        <color theme="1"/>
      </rPr>
      <t xml:space="preserve">KW Yield (OT ÷ # of Keywords)
</t>
    </r>
    <r>
      <rPr>
        <rFont val="Arial"/>
        <b val="0"/>
        <i/>
        <color theme="1"/>
      </rPr>
      <t xml:space="preserve">Traffic efficiency per top-ranking keyword 
</t>
    </r>
    <r>
      <rPr>
        <rFont val="Arial"/>
        <b val="0"/>
        <color theme="1"/>
      </rPr>
      <t>efficient traffic per keyword = stronger chance of surfacing in AI</t>
    </r>
  </si>
  <si>
    <r>
      <rPr>
        <rFont val="Arial"/>
        <b/>
        <color theme="1"/>
      </rPr>
      <t xml:space="preserve">Snippet Yield (OT ÷ Snippets)
</t>
    </r>
    <r>
      <rPr>
        <rFont val="Arial"/>
        <b val="0"/>
        <i/>
        <color theme="1"/>
      </rPr>
      <t xml:space="preserve">Traffic efficiency per snippet earned </t>
    </r>
  </si>
  <si>
    <r>
      <rPr>
        <rFont val="Arial"/>
        <b/>
        <color theme="1"/>
      </rPr>
      <t xml:space="preserve">Mention Rate (%) = Mentions / Cited Sources
</t>
    </r>
    <r>
      <rPr>
        <rFont val="Arial"/>
        <b val="0"/>
        <i/>
        <color theme="1"/>
      </rPr>
      <t xml:space="preserve">Shows efficiency — when you are mentioned, how often are you also cited as the trusted source?
</t>
    </r>
    <r>
      <rPr>
        <rFont val="Arial"/>
        <b/>
        <color theme="1"/>
      </rPr>
      <t>higher efficiency of mentions converting into citations</t>
    </r>
  </si>
  <si>
    <r>
      <rPr>
        <rFont val="Arial"/>
        <b/>
        <color theme="1"/>
      </rPr>
      <t xml:space="preserve">RD Yield (OT ÷ RD)
</t>
    </r>
    <r>
      <rPr>
        <rFont val="Arial"/>
        <b val="0"/>
        <i/>
        <color theme="1"/>
      </rPr>
      <t>Traffic efficiency per referring domain</t>
    </r>
  </si>
  <si>
    <r>
      <rPr>
        <rFont val="Arial"/>
        <b/>
        <color theme="1"/>
      </rPr>
      <t xml:space="preserve">Content Yield (OT ÷ Pages)
</t>
    </r>
    <r>
      <rPr>
        <rFont val="Arial"/>
        <b val="0"/>
        <i/>
        <color theme="1"/>
      </rPr>
      <t>Traffic efficiency per indexed page</t>
    </r>
  </si>
  <si>
    <r>
      <rPr>
        <rFont val="Arial"/>
        <b/>
        <color theme="1"/>
      </rPr>
      <t xml:space="preserve">Backlink Density (BL ÷ RD)
</t>
    </r>
    <r>
      <rPr>
        <rFont val="Arial"/>
        <b val="0"/>
        <i/>
        <color theme="1"/>
      </rPr>
      <t xml:space="preserve">Ratio of backlinks per referring domain 
</t>
    </r>
    <r>
      <rPr>
        <rFont val="Arial"/>
        <b/>
        <color theme="1"/>
      </rPr>
      <t>higher quality link mix = stronger mention likelihood</t>
    </r>
  </si>
  <si>
    <r>
      <rPr>
        <rFont val="Arial"/>
        <b/>
        <color theme="1"/>
      </rPr>
      <t xml:space="preserve">Informational Density (Info KW ÷ Total KW)
</t>
    </r>
    <r>
      <rPr>
        <rFont val="Arial"/>
        <b val="0"/>
        <i/>
        <color theme="1"/>
      </rPr>
      <t xml:space="preserve">Share of content focused on informational queries
</t>
    </r>
    <r>
      <rPr>
        <rFont val="Arial"/>
        <b val="0"/>
        <color theme="1"/>
      </rPr>
      <t xml:space="preserve">More informational content = higher AI visbility </t>
    </r>
  </si>
  <si>
    <r>
      <rPr>
        <rFont val="Arial"/>
        <b/>
        <color theme="1"/>
      </rPr>
      <t xml:space="preserve">Final Score 
</t>
    </r>
    <r>
      <rPr>
        <rFont val="Arial"/>
        <b val="0"/>
        <color theme="1"/>
      </rPr>
      <t xml:space="preserve">Total score across all metrics </t>
    </r>
  </si>
  <si>
    <r>
      <rPr>
        <rFont val="Arial"/>
        <b/>
        <color theme="1"/>
      </rPr>
      <t xml:space="preserve">Average Rank
</t>
    </r>
    <r>
      <rPr>
        <rFont val="Arial"/>
        <i/>
        <color theme="1"/>
      </rPr>
      <t>Average position rank vs competitors</t>
    </r>
  </si>
  <si>
    <t>Ojai Recovery</t>
  </si>
  <si>
    <t xml:space="preserve">https://ojairecovery.com/ </t>
  </si>
  <si>
    <t>Camarillo Healthcare Center</t>
  </si>
  <si>
    <t>https://camarillohealthcare.com/</t>
  </si>
  <si>
    <t>Altitude Recovery Community</t>
  </si>
  <si>
    <t>https://altituderecovery.com/</t>
  </si>
  <si>
    <t>Wildwood Recovery</t>
  </si>
  <si>
    <t>https://wildwoodrecovery.com/</t>
  </si>
  <si>
    <t>Ventura Recovery Center</t>
  </si>
  <si>
    <t>https://venturarecoverycenter.com/</t>
  </si>
  <si>
    <t>Passages Ventura</t>
  </si>
  <si>
    <t>https://passagesventura.com/</t>
  </si>
  <si>
    <t>Khepera House</t>
  </si>
  <si>
    <t>https://kheperahouse.org/</t>
  </si>
  <si>
    <t>Monarch Recovery</t>
  </si>
  <si>
    <t>https://www.monarchrecoverygroup.com/</t>
  </si>
  <si>
    <t>Point Break Recovery</t>
  </si>
  <si>
    <t>https://www.pointbreakrecovery.com/</t>
  </si>
  <si>
    <t>Kokua Wellness</t>
  </si>
  <si>
    <t>https://kokuaventura.com/</t>
  </si>
  <si>
    <r>
      <rPr>
        <rFont val="Arial"/>
        <b/>
        <color theme="1"/>
      </rPr>
      <t xml:space="preserve">Website URL
</t>
    </r>
    <r>
      <rPr>
        <rFont val="Arial"/>
        <b val="0"/>
        <i/>
        <color theme="1"/>
      </rPr>
      <t>Main domain used for evaluation</t>
    </r>
  </si>
  <si>
    <r>
      <rPr>
        <rFont val="Arial"/>
        <b/>
        <sz val="11.0"/>
      </rPr>
      <t xml:space="preserve">WHOIS REG
</t>
    </r>
    <r>
      <rPr>
        <rFont val="Arial"/>
        <b/>
        <color rgb="FF1155CC"/>
        <sz val="11.0"/>
        <u/>
      </rPr>
      <t>Godaddy whois</t>
    </r>
  </si>
  <si>
    <r>
      <rPr>
        <rFont val="Arial"/>
        <b/>
        <sz val="11.0"/>
      </rPr>
      <t xml:space="preserve">FIRST ARCHIVE
</t>
    </r>
    <r>
      <rPr>
        <rFont val="Arial"/>
        <b val="0"/>
        <i/>
        <sz val="11.0"/>
      </rPr>
      <t xml:space="preserve">First date captured in </t>
    </r>
    <r>
      <rPr>
        <rFont val="Arial"/>
        <b val="0"/>
        <i/>
        <color rgb="FF1155CC"/>
        <sz val="11.0"/>
        <u/>
      </rPr>
      <t xml:space="preserve">Wayback Machine </t>
    </r>
  </si>
  <si>
    <r>
      <rPr>
        <rFont val="Arial"/>
        <b/>
      </rPr>
      <t xml:space="preserve">DR 
</t>
    </r>
    <r>
      <rPr>
        <rFont val="Arial"/>
        <b val="0"/>
      </rPr>
      <t xml:space="preserve">Ahrefs - </t>
    </r>
    <r>
      <rPr>
        <rFont val="Arial"/>
        <b val="0"/>
        <color rgb="FF1155CC"/>
        <u/>
      </rPr>
      <t xml:space="preserve">batch analysis </t>
    </r>
    <r>
      <rPr>
        <rFont val="Arial"/>
        <b/>
      </rPr>
      <t xml:space="preserve"> set to US only </t>
    </r>
  </si>
  <si>
    <r>
      <rPr>
        <rFont val="Arial"/>
        <b/>
        <color theme="1"/>
      </rPr>
      <t xml:space="preserve">Referring Domains (RD)
</t>
    </r>
    <r>
      <rPr>
        <rFont val="Arial"/>
        <b val="0"/>
        <color theme="1"/>
      </rPr>
      <t xml:space="preserve">Ahrefs - batch analysis </t>
    </r>
  </si>
  <si>
    <r>
      <rPr>
        <rFont val="Arial"/>
        <b/>
        <color theme="1"/>
      </rPr>
      <t xml:space="preserve">Backlinks (BL)
</t>
    </r>
    <r>
      <rPr>
        <rFont val="Arial"/>
        <b val="0"/>
        <color theme="1"/>
      </rPr>
      <t xml:space="preserve">Ahrefs - batch analysis </t>
    </r>
  </si>
  <si>
    <r>
      <rPr>
        <rFont val="Arial"/>
        <b/>
        <color theme="1"/>
      </rPr>
      <t xml:space="preserve">Indexed Pages
</t>
    </r>
    <r>
      <rPr>
        <rFont val="Arial"/>
        <b val="0"/>
        <color theme="1"/>
      </rPr>
      <t xml:space="preserve">site:domain 
Tools &gt; # of pages </t>
    </r>
  </si>
  <si>
    <t>AI Visibility Score</t>
  </si>
  <si>
    <r>
      <rPr>
        <rFont val="Arial"/>
        <b/>
        <color theme="1"/>
      </rPr>
      <t xml:space="preserve">Mentions (AI Responses)
</t>
    </r>
    <r>
      <rPr>
        <rFont val="Arial"/>
        <b val="0"/>
        <color theme="1"/>
      </rPr>
      <t>SEMrush AI tool</t>
    </r>
  </si>
  <si>
    <t>Cited Sources</t>
  </si>
  <si>
    <r>
      <rPr>
        <rFont val="Arial"/>
        <b/>
        <color theme="1"/>
      </rPr>
      <t>Organic Keywords</t>
    </r>
    <r>
      <rPr>
        <rFont val="Arial"/>
        <b val="0"/>
        <color theme="1"/>
      </rPr>
      <t xml:space="preserve"> </t>
    </r>
  </si>
  <si>
    <r>
      <rPr>
        <rFont val="Arial"/>
        <b/>
        <color theme="1"/>
      </rPr>
      <t xml:space="preserve">Top 10 Keywords
</t>
    </r>
    <r>
      <rPr>
        <rFont val="Arial"/>
        <b val="0"/>
        <color theme="1"/>
      </rPr>
      <t xml:space="preserve">Ahrefs - batch analysis  Top 1-3 +Top 4-10 </t>
    </r>
  </si>
  <si>
    <r>
      <rPr>
        <rFont val="Arial"/>
        <b/>
      </rPr>
      <t xml:space="preserve">Informational Keywords - US only 
</t>
    </r>
    <r>
      <rPr>
        <rFont val="Arial"/>
        <b val="0"/>
        <color rgb="FF1155CC"/>
        <u/>
      </rPr>
      <t>Ahrefs Site Explorer</t>
    </r>
    <r>
      <rPr>
        <rFont val="Arial"/>
        <b val="0"/>
      </rPr>
      <t>,&gt; Organic Keywords Report, US only, Intent &gt; Informational</t>
    </r>
  </si>
  <si>
    <r>
      <rPr>
        <rFont val="Arial"/>
        <b/>
        <color theme="1"/>
      </rPr>
      <t xml:space="preserve">featured snippet / AIO 
</t>
    </r>
    <r>
      <rPr>
        <rFont val="Arial"/>
        <b val="0"/>
        <color theme="1"/>
      </rPr>
      <t xml:space="preserve">Organic Keywords report &gt; + Add filter &gt; SERP features &gt; Current, Include Target In, Featured Snippet, AI Overview, Any </t>
    </r>
  </si>
  <si>
    <r>
      <rPr>
        <rFont val="Arial"/>
        <b/>
        <color theme="1"/>
      </rPr>
      <t xml:space="preserve">Organic Traffic
</t>
    </r>
    <r>
      <rPr>
        <rFont val="Arial"/>
        <b val="0"/>
        <color theme="1"/>
      </rPr>
      <t xml:space="preserve">Ahrefs - batch analysis </t>
    </r>
  </si>
  <si>
    <r>
      <rPr>
        <rFont val="Arial"/>
        <b/>
        <color theme="1"/>
      </rPr>
      <t xml:space="preserve">KW Velocity (KW ÷ Age)
</t>
    </r>
    <r>
      <rPr>
        <rFont val="Arial"/>
        <b val="0"/>
        <i/>
        <color theme="1"/>
      </rPr>
      <t>Growth rate of ranking keywords per year</t>
    </r>
  </si>
  <si>
    <r>
      <rPr>
        <rFont val="Arial"/>
        <b/>
        <color theme="1"/>
      </rPr>
      <t xml:space="preserve">Snippet Velocity (Snippets ÷ Age)
</t>
    </r>
    <r>
      <rPr>
        <rFont val="Arial"/>
        <b val="0"/>
        <i/>
        <color theme="1"/>
      </rPr>
      <t xml:space="preserve">Growth rate of snippets earned per year
</t>
    </r>
    <r>
      <rPr>
        <rFont val="Arial"/>
        <b val="0"/>
        <color theme="1"/>
      </rPr>
      <t xml:space="preserve"> faster snippet growth = more visibility in AI answers</t>
    </r>
  </si>
  <si>
    <r>
      <rPr>
        <rFont val="Arial"/>
        <b/>
        <color theme="1"/>
      </rPr>
      <t xml:space="preserve">RD Velocity (RD ÷ Age)
</t>
    </r>
    <r>
      <rPr>
        <rFont val="Arial"/>
        <b val="0"/>
        <i/>
        <color theme="1"/>
      </rPr>
      <t xml:space="preserve">Growth rate of referring domains per year
</t>
    </r>
    <r>
      <rPr>
        <rFont val="Arial"/>
        <b/>
        <color theme="1"/>
      </rPr>
      <t>faster link growth = more brand mentions in AI</t>
    </r>
  </si>
  <si>
    <r>
      <rPr>
        <rFont val="Arial"/>
        <b/>
        <color theme="1"/>
      </rPr>
      <t xml:space="preserve">Content Velocity (Pages ÷ Age)
</t>
    </r>
    <r>
      <rPr>
        <rFont val="Arial"/>
        <b val="0"/>
        <i/>
        <color theme="1"/>
      </rPr>
      <t xml:space="preserve">Growth rate of indexed content per year
</t>
    </r>
    <r>
      <rPr>
        <rFont val="Arial"/>
        <b/>
        <color theme="1"/>
      </rPr>
      <t>more content growth = more opportunities for mentions</t>
    </r>
  </si>
  <si>
    <r>
      <rPr>
        <rFont val="Arial"/>
        <b/>
        <color theme="1"/>
      </rPr>
      <t xml:space="preserve">KW Yield (OT ÷ # of Keywords)
</t>
    </r>
    <r>
      <rPr>
        <rFont val="Arial"/>
        <b val="0"/>
        <i/>
        <color theme="1"/>
      </rPr>
      <t xml:space="preserve">Traffic efficiency per top-ranking keyword 
</t>
    </r>
    <r>
      <rPr>
        <rFont val="Arial"/>
        <b val="0"/>
        <color theme="1"/>
      </rPr>
      <t>efficient traffic per keyword = stronger chance of surfacing in AI</t>
    </r>
  </si>
  <si>
    <t>Snippet Yield</t>
  </si>
  <si>
    <r>
      <rPr>
        <rFont val="Arial"/>
        <b/>
        <color theme="1"/>
      </rPr>
      <t xml:space="preserve">Mention Rate (%) = Mentions / Cited Sources
</t>
    </r>
    <r>
      <rPr>
        <rFont val="Arial"/>
        <b val="0"/>
        <i/>
        <color theme="1"/>
      </rPr>
      <t xml:space="preserve">Shows efficiency — when you are mentioned, how often are you also cited as the trusted source?
</t>
    </r>
    <r>
      <rPr>
        <rFont val="Arial"/>
        <b/>
        <color theme="1"/>
      </rPr>
      <t>higher efficiency of mentions converting into citations</t>
    </r>
  </si>
  <si>
    <r>
      <rPr>
        <rFont val="Arial"/>
        <b/>
        <color theme="1"/>
      </rPr>
      <t xml:space="preserve">RD Yield (OT ÷ RD)
</t>
    </r>
    <r>
      <rPr>
        <rFont val="Arial"/>
        <b val="0"/>
        <i/>
        <color theme="1"/>
      </rPr>
      <t>Traffic efficiency per referring domain</t>
    </r>
  </si>
  <si>
    <r>
      <rPr>
        <rFont val="Arial"/>
        <b/>
        <color theme="1"/>
      </rPr>
      <t xml:space="preserve">Content Yield (OT ÷ Pages)
</t>
    </r>
    <r>
      <rPr>
        <rFont val="Arial"/>
        <b val="0"/>
        <i/>
        <color theme="1"/>
      </rPr>
      <t>Traffic efficiency per indexed page</t>
    </r>
  </si>
  <si>
    <r>
      <rPr>
        <rFont val="Arial"/>
        <b/>
        <color theme="1"/>
      </rPr>
      <t xml:space="preserve">Backlink Density (BL ÷ RD)
</t>
    </r>
    <r>
      <rPr>
        <rFont val="Arial"/>
        <b val="0"/>
        <i/>
        <color theme="1"/>
      </rPr>
      <t xml:space="preserve">Ratio of backlinks per referring domain 
</t>
    </r>
    <r>
      <rPr>
        <rFont val="Arial"/>
        <b/>
        <color theme="1"/>
      </rPr>
      <t>higher quality link mix = stronger mention likelihood</t>
    </r>
  </si>
  <si>
    <r>
      <rPr>
        <rFont val="Arial"/>
        <b/>
        <color theme="1"/>
      </rPr>
      <t xml:space="preserve">Informational Density (Info KW ÷ Total KW)
</t>
    </r>
    <r>
      <rPr>
        <rFont val="Arial"/>
        <b val="0"/>
        <i/>
        <color theme="1"/>
      </rPr>
      <t xml:space="preserve">Share of content focused on informational queries
</t>
    </r>
    <r>
      <rPr>
        <rFont val="Arial"/>
        <b val="0"/>
        <color theme="1"/>
      </rPr>
      <t xml:space="preserve">More informational content = higher AI visbility </t>
    </r>
  </si>
  <si>
    <r>
      <rPr>
        <rFont val="Arial"/>
        <b/>
        <color theme="1"/>
      </rPr>
      <t xml:space="preserve">Final Score 
</t>
    </r>
    <r>
      <rPr>
        <rFont val="Arial"/>
        <b val="0"/>
        <color theme="1"/>
      </rPr>
      <t xml:space="preserve">Total score across all metrics </t>
    </r>
  </si>
  <si>
    <r>
      <rPr>
        <rFont val="Arial"/>
        <b/>
        <color theme="1"/>
      </rPr>
      <t xml:space="preserve">Average Rank
</t>
    </r>
    <r>
      <rPr>
        <rFont val="Arial"/>
        <i/>
        <color theme="1"/>
      </rPr>
      <t>Average position rank vs competitors</t>
    </r>
  </si>
  <si>
    <r>
      <rPr>
        <rFont val="Arial"/>
        <b/>
        <color theme="1"/>
      </rPr>
      <t xml:space="preserve">Website URL
</t>
    </r>
    <r>
      <rPr>
        <rFont val="Arial"/>
        <b val="0"/>
        <i/>
        <color theme="1"/>
      </rPr>
      <t>Main domain used for evaluation</t>
    </r>
  </si>
  <si>
    <r>
      <rPr>
        <rFont val="Arial"/>
        <b/>
        <sz val="11.0"/>
      </rPr>
      <t xml:space="preserve">WHOIS REG
</t>
    </r>
    <r>
      <rPr>
        <rFont val="Arial"/>
        <b/>
        <color rgb="FF1155CC"/>
        <sz val="11.0"/>
        <u/>
      </rPr>
      <t>Godaddy whois</t>
    </r>
  </si>
  <si>
    <r>
      <rPr>
        <rFont val="Arial"/>
        <b/>
        <sz val="11.0"/>
      </rPr>
      <t xml:space="preserve">FIRST ARCHIVE
</t>
    </r>
    <r>
      <rPr>
        <rFont val="Arial"/>
        <b val="0"/>
        <i/>
        <sz val="11.0"/>
      </rPr>
      <t xml:space="preserve">First date captured in </t>
    </r>
    <r>
      <rPr>
        <rFont val="Arial"/>
        <b val="0"/>
        <i/>
        <color rgb="FF1155CC"/>
        <sz val="11.0"/>
        <u/>
      </rPr>
      <t xml:space="preserve">Wayback Machine </t>
    </r>
  </si>
  <si>
    <r>
      <rPr>
        <rFont val="Arial"/>
        <b/>
      </rPr>
      <t xml:space="preserve">DR 
</t>
    </r>
    <r>
      <rPr>
        <rFont val="Arial"/>
        <b val="0"/>
      </rPr>
      <t xml:space="preserve">Ahrefs - </t>
    </r>
    <r>
      <rPr>
        <rFont val="Arial"/>
        <b val="0"/>
        <color rgb="FF1155CC"/>
        <u/>
      </rPr>
      <t xml:space="preserve">batch analysis </t>
    </r>
    <r>
      <rPr>
        <rFont val="Arial"/>
        <b/>
      </rPr>
      <t xml:space="preserve"> set to US only </t>
    </r>
  </si>
  <si>
    <r>
      <rPr>
        <rFont val="Arial"/>
        <b/>
        <color theme="1"/>
      </rPr>
      <t xml:space="preserve">Referring Domains (RD)
</t>
    </r>
    <r>
      <rPr>
        <rFont val="Arial"/>
        <b val="0"/>
        <color theme="1"/>
      </rPr>
      <t xml:space="preserve">Ahrefs - batch analysis </t>
    </r>
  </si>
  <si>
    <r>
      <rPr>
        <rFont val="Arial"/>
        <b/>
        <color theme="1"/>
      </rPr>
      <t xml:space="preserve">Backlinks (BL)
</t>
    </r>
    <r>
      <rPr>
        <rFont val="Arial"/>
        <b val="0"/>
        <color theme="1"/>
      </rPr>
      <t xml:space="preserve">Ahrefs - batch analysis </t>
    </r>
  </si>
  <si>
    <r>
      <rPr>
        <rFont val="Arial"/>
        <b/>
        <color theme="1"/>
      </rPr>
      <t xml:space="preserve">Indexed Pages
</t>
    </r>
    <r>
      <rPr>
        <rFont val="Arial"/>
        <b val="0"/>
        <color theme="1"/>
      </rPr>
      <t xml:space="preserve">site:domain 
Tools &gt; # of pages </t>
    </r>
  </si>
  <si>
    <r>
      <rPr>
        <rFont val="Arial"/>
        <b/>
        <color theme="1"/>
      </rPr>
      <t xml:space="preserve">AI Visibility Score 
</t>
    </r>
    <r>
      <rPr>
        <rFont val="Arial"/>
        <b val="0"/>
        <color theme="1"/>
      </rPr>
      <t>SEMrush AI tool</t>
    </r>
  </si>
  <si>
    <r>
      <rPr>
        <rFont val="Arial"/>
        <b/>
        <color theme="1"/>
      </rPr>
      <t xml:space="preserve">Mentions (AI Responses)
</t>
    </r>
    <r>
      <rPr>
        <rFont val="Arial"/>
        <b val="0"/>
        <color theme="1"/>
      </rPr>
      <t>SEMrush AI tool</t>
    </r>
  </si>
  <si>
    <r>
      <rPr>
        <rFont val="Arial"/>
        <b/>
        <color theme="1"/>
      </rPr>
      <t xml:space="preserve">Cited Sources 
</t>
    </r>
    <r>
      <rPr>
        <rFont val="Arial"/>
        <b val="0"/>
        <color theme="1"/>
      </rPr>
      <t>SEMrush AI tool</t>
    </r>
  </si>
  <si>
    <r>
      <rPr>
        <rFont val="Arial"/>
        <b/>
        <color theme="1"/>
      </rPr>
      <t xml:space="preserve">Organic Keywords
</t>
    </r>
    <r>
      <rPr>
        <rFont val="Arial"/>
        <b val="0"/>
        <color theme="1"/>
      </rPr>
      <t xml:space="preserve">Ahrefs - batch analysis </t>
    </r>
  </si>
  <si>
    <r>
      <rPr>
        <rFont val="Arial"/>
        <b/>
        <color theme="1"/>
      </rPr>
      <t xml:space="preserve">Top 10 Keywords
</t>
    </r>
    <r>
      <rPr>
        <rFont val="Arial"/>
        <b val="0"/>
        <color theme="1"/>
      </rPr>
      <t xml:space="preserve">Ahrefs - batch analysis  Top 1-3 +Top 4-10 </t>
    </r>
  </si>
  <si>
    <r>
      <rPr>
        <rFont val="Arial"/>
        <b/>
      </rPr>
      <t xml:space="preserve">Informational Keywords - US only 
</t>
    </r>
    <r>
      <rPr>
        <rFont val="Arial"/>
        <b val="0"/>
        <color rgb="FF1155CC"/>
        <u/>
      </rPr>
      <t>Ahrefs Site Explorer</t>
    </r>
    <r>
      <rPr>
        <rFont val="Arial"/>
        <b val="0"/>
      </rPr>
      <t>,&gt; Organic Keywords Report, US only, Intent &gt; Informational</t>
    </r>
  </si>
  <si>
    <r>
      <rPr>
        <rFont val="Arial"/>
        <b/>
        <color theme="1"/>
      </rPr>
      <t xml:space="preserve">featured snippet / AIO 
</t>
    </r>
    <r>
      <rPr>
        <rFont val="Arial"/>
        <b val="0"/>
        <color theme="1"/>
      </rPr>
      <t xml:space="preserve">Organic Keywords report &gt; + Add filter &gt; SERP features &gt; Current, Include Target In, Featured Snippet, AI Overview, Any </t>
    </r>
  </si>
  <si>
    <r>
      <rPr>
        <rFont val="Arial"/>
        <b/>
        <color theme="1"/>
      </rPr>
      <t xml:space="preserve">Organic Traffic
</t>
    </r>
    <r>
      <rPr>
        <rFont val="Arial"/>
        <b val="0"/>
        <color theme="1"/>
      </rPr>
      <t xml:space="preserve">Ahrefs - batch analysis </t>
    </r>
  </si>
  <si>
    <r>
      <rPr>
        <rFont val="Arial"/>
        <b/>
        <color theme="1"/>
      </rPr>
      <t xml:space="preserve">KW Velocity (KW ÷ Age)
</t>
    </r>
    <r>
      <rPr>
        <rFont val="Arial"/>
        <b val="0"/>
        <i/>
        <color theme="1"/>
      </rPr>
      <t>Growth rate of ranking keywords per year</t>
    </r>
  </si>
  <si>
    <r>
      <rPr>
        <rFont val="Arial"/>
        <b/>
        <color theme="1"/>
      </rPr>
      <t xml:space="preserve">Snippet Velocity (Snippets ÷ Age)
</t>
    </r>
    <r>
      <rPr>
        <rFont val="Arial"/>
        <b val="0"/>
        <i/>
        <color theme="1"/>
      </rPr>
      <t xml:space="preserve">Growth rate of snippets earned per year
</t>
    </r>
    <r>
      <rPr>
        <rFont val="Arial"/>
        <b val="0"/>
        <color theme="1"/>
      </rPr>
      <t xml:space="preserve"> faster snippet growth = more visibility in AI answers</t>
    </r>
  </si>
  <si>
    <r>
      <rPr>
        <rFont val="Arial"/>
        <b/>
        <color theme="1"/>
      </rPr>
      <t xml:space="preserve">RD Velocity (RD ÷ Age)
</t>
    </r>
    <r>
      <rPr>
        <rFont val="Arial"/>
        <b val="0"/>
        <i/>
        <color theme="1"/>
      </rPr>
      <t xml:space="preserve">Growth rate of referring domains per year
</t>
    </r>
    <r>
      <rPr>
        <rFont val="Arial"/>
        <b/>
        <color theme="1"/>
      </rPr>
      <t>faster link growth = more brand mentions in AI</t>
    </r>
  </si>
  <si>
    <r>
      <rPr>
        <rFont val="Arial"/>
        <b/>
        <color theme="1"/>
      </rPr>
      <t xml:space="preserve">Content Velocity (Pages ÷ Age)
</t>
    </r>
    <r>
      <rPr>
        <rFont val="Arial"/>
        <b val="0"/>
        <i/>
        <color theme="1"/>
      </rPr>
      <t xml:space="preserve">Growth rate of indexed content per year
</t>
    </r>
    <r>
      <rPr>
        <rFont val="Arial"/>
        <b/>
        <color theme="1"/>
      </rPr>
      <t>more content growth = more opportunities for mentions</t>
    </r>
  </si>
  <si>
    <r>
      <rPr>
        <rFont val="Arial"/>
        <b/>
        <color theme="1"/>
      </rPr>
      <t xml:space="preserve">KW Yield (OT ÷ # of Keywords)
</t>
    </r>
    <r>
      <rPr>
        <rFont val="Arial"/>
        <b val="0"/>
        <i/>
        <color theme="1"/>
      </rPr>
      <t xml:space="preserve">Traffic efficiency per top-ranking keyword 
</t>
    </r>
    <r>
      <rPr>
        <rFont val="Arial"/>
        <b val="0"/>
        <color theme="1"/>
      </rPr>
      <t>efficient traffic per keyword = stronger chance of surfacing in AI</t>
    </r>
  </si>
  <si>
    <r>
      <rPr>
        <rFont val="Arial"/>
        <b/>
        <color theme="1"/>
      </rPr>
      <t xml:space="preserve">Snippet Yield (OT ÷ Snippets)
</t>
    </r>
    <r>
      <rPr>
        <rFont val="Arial"/>
        <b val="0"/>
        <i/>
        <color theme="1"/>
      </rPr>
      <t xml:space="preserve">Traffic efficiency per snippet earned </t>
    </r>
  </si>
  <si>
    <r>
      <rPr>
        <rFont val="Arial"/>
        <b/>
        <color theme="1"/>
      </rPr>
      <t xml:space="preserve">Mention Rate (%) = Mentions / Cited Sources
</t>
    </r>
    <r>
      <rPr>
        <rFont val="Arial"/>
        <b val="0"/>
        <i/>
        <color theme="1"/>
      </rPr>
      <t xml:space="preserve">Shows efficiency — when you are mentioned, how often are you also cited as the trusted source?
</t>
    </r>
    <r>
      <rPr>
        <rFont val="Arial"/>
        <b/>
        <color theme="1"/>
      </rPr>
      <t>higher efficiency of mentions converting into citations</t>
    </r>
  </si>
  <si>
    <r>
      <rPr>
        <rFont val="Arial"/>
        <b/>
        <color theme="1"/>
      </rPr>
      <t xml:space="preserve">RD Yield (OT ÷ RD)
</t>
    </r>
    <r>
      <rPr>
        <rFont val="Arial"/>
        <b val="0"/>
        <i/>
        <color theme="1"/>
      </rPr>
      <t>Traffic efficiency per referring domain</t>
    </r>
  </si>
  <si>
    <r>
      <rPr>
        <rFont val="Arial"/>
        <b/>
        <color theme="1"/>
      </rPr>
      <t xml:space="preserve">Content Yield (OT ÷ Pages)
</t>
    </r>
    <r>
      <rPr>
        <rFont val="Arial"/>
        <b val="0"/>
        <i/>
        <color theme="1"/>
      </rPr>
      <t>Traffic efficiency per indexed page</t>
    </r>
  </si>
  <si>
    <r>
      <rPr>
        <rFont val="Arial"/>
        <b/>
        <color theme="1"/>
      </rPr>
      <t xml:space="preserve">Backlink Density (BL ÷ RD)
</t>
    </r>
    <r>
      <rPr>
        <rFont val="Arial"/>
        <b val="0"/>
        <i/>
        <color theme="1"/>
      </rPr>
      <t xml:space="preserve">Ratio of backlinks per referring domain 
</t>
    </r>
    <r>
      <rPr>
        <rFont val="Arial"/>
        <b/>
        <color theme="1"/>
      </rPr>
      <t>higher quality link mix = stronger mention likelihood</t>
    </r>
  </si>
  <si>
    <r>
      <rPr>
        <rFont val="Arial"/>
        <b/>
        <color theme="1"/>
      </rPr>
      <t xml:space="preserve">Informational Density (Info KW ÷ Total KW)
</t>
    </r>
    <r>
      <rPr>
        <rFont val="Arial"/>
        <b val="0"/>
        <i/>
        <color theme="1"/>
      </rPr>
      <t xml:space="preserve">Share of content focused on informational queries
</t>
    </r>
    <r>
      <rPr>
        <rFont val="Arial"/>
        <b val="0"/>
        <color theme="1"/>
      </rPr>
      <t xml:space="preserve">More informational content = higher AI visbility </t>
    </r>
  </si>
  <si>
    <r>
      <rPr>
        <rFont val="Arial"/>
        <b/>
        <color theme="1"/>
      </rPr>
      <t xml:space="preserve">Final Score 
</t>
    </r>
    <r>
      <rPr>
        <rFont val="Arial"/>
        <b val="0"/>
        <color theme="1"/>
      </rPr>
      <t xml:space="preserve">Total score across all metrics </t>
    </r>
  </si>
  <si>
    <r>
      <rPr>
        <rFont val="Arial"/>
        <b/>
        <color theme="1"/>
      </rPr>
      <t xml:space="preserve">Average Rank
</t>
    </r>
    <r>
      <rPr>
        <rFont val="Arial"/>
        <i/>
        <color theme="1"/>
      </rPr>
      <t>Average position rank vs competitors</t>
    </r>
  </si>
  <si>
    <t>Fellowship House</t>
  </si>
  <si>
    <t>https://fshbhm.org/</t>
  </si>
  <si>
    <t>A Reprieve</t>
  </si>
  <si>
    <t>https://experiencethereprieve.com/</t>
  </si>
  <si>
    <t>BlackBear</t>
  </si>
  <si>
    <t>https://blackbearrehab.com/</t>
  </si>
  <si>
    <t xml:space="preserve">Talbott </t>
  </si>
  <si>
    <t>https://talbottcampus.com/</t>
  </si>
  <si>
    <t>Thoroughbred Wellness</t>
  </si>
  <si>
    <t>https://thoroughbredbhc.com/</t>
  </si>
  <si>
    <t>Bradford Health</t>
  </si>
  <si>
    <t>https://bradfordhealth.com/</t>
  </si>
  <si>
    <t xml:space="preserve">Impact Recovery </t>
  </si>
  <si>
    <t>https://impactrecoverycenter.net/</t>
  </si>
  <si>
    <t>Long Leaf</t>
  </si>
  <si>
    <t>https://www.longleafcenters.com/</t>
  </si>
  <si>
    <t>Blue Ridge Mtn</t>
  </si>
  <si>
    <t>https://www.blueridgemountainrecovery.com/</t>
  </si>
  <si>
    <t>Ridgeview</t>
  </si>
  <si>
    <t>https://www.ridgeviewinstitute.com/</t>
  </si>
  <si>
    <t>Address</t>
  </si>
  <si>
    <t>page type</t>
  </si>
  <si>
    <t>Top level nav item?</t>
  </si>
  <si>
    <t>GA4 Sessions</t>
  </si>
  <si>
    <t>Next steps</t>
  </si>
  <si>
    <t xml:space="preserve">new URL/ redirect location </t>
  </si>
  <si>
    <t>Content Type</t>
  </si>
  <si>
    <t>Status Code</t>
  </si>
  <si>
    <t>Status</t>
  </si>
  <si>
    <t>Indexability</t>
  </si>
  <si>
    <t>Indexability Status</t>
  </si>
  <si>
    <t>Title 1</t>
  </si>
  <si>
    <t>Title 1 Length</t>
  </si>
  <si>
    <t>Title 1 Pixel Width</t>
  </si>
  <si>
    <t>Meta Description 1</t>
  </si>
  <si>
    <t>Meta Description 1 Length</t>
  </si>
  <si>
    <t>Meta Description 1 Pixel Width</t>
  </si>
  <si>
    <t>Meta Description 2</t>
  </si>
  <si>
    <t>Meta Description 2 Length</t>
  </si>
  <si>
    <t>Meta Description 2 Pixel Width</t>
  </si>
  <si>
    <t>Meta Keywords 1</t>
  </si>
  <si>
    <t>Meta Keywords 1 Length</t>
  </si>
  <si>
    <t>H1-1</t>
  </si>
  <si>
    <t>H1-1 Length</t>
  </si>
  <si>
    <t>H1-2</t>
  </si>
  <si>
    <t>H1-2 Length</t>
  </si>
  <si>
    <t>H2-1</t>
  </si>
  <si>
    <t>H2-1 Length</t>
  </si>
  <si>
    <t>H2-2</t>
  </si>
  <si>
    <t>H2-2 Length</t>
  </si>
  <si>
    <t>Meta Robots 1</t>
  </si>
  <si>
    <t>X-Robots-Tag 1</t>
  </si>
  <si>
    <t>Meta Refresh 1</t>
  </si>
  <si>
    <t>Canonical Link Element 1</t>
  </si>
  <si>
    <t>rel="next" 1</t>
  </si>
  <si>
    <t>rel="prev" 1</t>
  </si>
  <si>
    <t>HTTP rel="next" 1</t>
  </si>
  <si>
    <t>HTTP rel="prev" 1</t>
  </si>
  <si>
    <t>amphtml Link Element</t>
  </si>
  <si>
    <t>Size (bytes)</t>
  </si>
  <si>
    <t>Transferred (bytes)</t>
  </si>
  <si>
    <t>Total Transferred (bytes)</t>
  </si>
  <si>
    <t>CO2 (mg)</t>
  </si>
  <si>
    <t>Carbon Rating</t>
  </si>
  <si>
    <t>Word Count</t>
  </si>
  <si>
    <t>Sentence Count</t>
  </si>
  <si>
    <t>Average Words Per Sentence</t>
  </si>
  <si>
    <t>Flesch Reading Ease Score</t>
  </si>
  <si>
    <t>Readability</t>
  </si>
  <si>
    <t>Text Ratio</t>
  </si>
  <si>
    <t>Crawl Depth</t>
  </si>
  <si>
    <t>Folder Depth</t>
  </si>
  <si>
    <t>Link Score</t>
  </si>
  <si>
    <t>Inlinks</t>
  </si>
  <si>
    <t>Unique Inlinks</t>
  </si>
  <si>
    <t>Unique JS Inlinks</t>
  </si>
  <si>
    <t>% of Total</t>
  </si>
  <si>
    <t>Outlinks</t>
  </si>
  <si>
    <t>Unique Outlinks</t>
  </si>
  <si>
    <t>Unique JS Outlinks</t>
  </si>
  <si>
    <t>External Outlinks</t>
  </si>
  <si>
    <t>Unique External Outlinks</t>
  </si>
  <si>
    <t>Unique External JS Outlinks</t>
  </si>
  <si>
    <t>Closest Near Duplicate Match</t>
  </si>
  <si>
    <t>No. Near Duplicates</t>
  </si>
  <si>
    <t>Spelling Errors</t>
  </si>
  <si>
    <t>Grammar Errors</t>
  </si>
  <si>
    <t>Hash</t>
  </si>
  <si>
    <t>Response Time</t>
  </si>
  <si>
    <t>Last Modified</t>
  </si>
  <si>
    <t>Redirect URL</t>
  </si>
  <si>
    <t>Redirect Type</t>
  </si>
  <si>
    <t>Cookies</t>
  </si>
  <si>
    <t>Language</t>
  </si>
  <si>
    <t>HTTP Version</t>
  </si>
  <si>
    <t>GA4 Views</t>
  </si>
  <si>
    <t>GA4 Engaged sessions</t>
  </si>
  <si>
    <t>GA4 Engagement rate</t>
  </si>
  <si>
    <t>GA4 Key events</t>
  </si>
  <si>
    <t>GA4 Event count</t>
  </si>
  <si>
    <t>GA4 Total revenue</t>
  </si>
  <si>
    <t>Mobile Alternate Link</t>
  </si>
  <si>
    <t>Closest Semantically Similar Address</t>
  </si>
  <si>
    <t>Semantic Similarity Score</t>
  </si>
  <si>
    <t>No. Semantically Similar</t>
  </si>
  <si>
    <t>Semantic Relevance Score</t>
  </si>
  <si>
    <t>URL Encoded Address</t>
  </si>
  <si>
    <t>Crawl Timestamp</t>
  </si>
  <si>
    <t>https://ojairecovery.com/</t>
  </si>
  <si>
    <t>keep</t>
  </si>
  <si>
    <t>text/html; charset=UTF-8</t>
  </si>
  <si>
    <t>OK</t>
  </si>
  <si>
    <t>Indexable</t>
  </si>
  <si>
    <t>Ojai Recovery: Addiction Treatment Center Ventura County</t>
  </si>
  <si>
    <t>Ojai Recovery is a trusted addiction treatment center near you in Oak View, Ventura County, CA,. Offering transformative addiction and mental health treatment in a vibrant, nature-immersed setting. Call 805-273-8798.</t>
  </si>
  <si>
    <t>Ojai Recovery offers transformative addiction and mental health treatment in a vibrant, nature-immersed setting. Discover joyful, community-based healing in Ventura County.</t>
  </si>
  <si>
    <t>Ojai Recovery Treatment Center in Ventura County, CA</t>
  </si>
  <si>
    <t>Breathe. Heal. Belong.</t>
  </si>
  <si>
    <t>Insurance accepted</t>
  </si>
  <si>
    <t>follow, index, max-snippet:-1, max-video-preview:-1, max-image-preview:large</t>
  </si>
  <si>
    <t>Normal</t>
  </si>
  <si>
    <t>997ca2530ba5f4e02889fd0d4e24b469</t>
  </si>
  <si>
    <t>en-US</t>
  </si>
  <si>
    <t>https://ojairecovery.com/about-us/</t>
  </si>
  <si>
    <t>About Us - Ojai Recovery</t>
  </si>
  <si>
    <t>Welcome to Ojai Recovery — Where Healing Feels Like Coming Home At Ojai Recovery, we believe that true recovery is more than letting go of substances—it’s</t>
  </si>
  <si>
    <t>About Ojai Recovery ventura County</t>
  </si>
  <si>
    <t>A Sanctuary for Recovery and Renewal</t>
  </si>
  <si>
    <t>Our Integrated Approach</t>
  </si>
  <si>
    <t>Hard</t>
  </si>
  <si>
    <t>fc6e7daa6048d6f622e35c0beb3e382e</t>
  </si>
  <si>
    <t>https://ojairecovery.com/addiction-treatment-payment-options-and-insurance/</t>
  </si>
  <si>
    <t>Addiction Treatment Payment Options &amp; Insurance | What to Know</t>
  </si>
  <si>
    <t>Explore the different ways to pay for addiction treatment, including private insurance, Medicaid, financing plans, and out-of-pocket options. Make informed decisions about your recovery journey.</t>
  </si>
  <si>
    <t>Discover addiction treatment payment options and insurance insights tailored to you—secure your path to healing.</t>
  </si>
  <si>
    <t>Understanding Addiction Treatment Payment Options and Insurance</t>
  </si>
  <si>
    <t>Share this post:</t>
  </si>
  <si>
    <t>Experiences and Activities in Ojai</t>
  </si>
  <si>
    <t>65108a84f339a5b9962e989d0a56af10</t>
  </si>
  <si>
    <t>https://ojairecovery.com/addictions-treated/</t>
  </si>
  <si>
    <t>use as category page - nest content under it</t>
  </si>
  <si>
    <t>Addictions Treated - Ojai Recovery</t>
  </si>
  <si>
    <t>Ojai Recovery treats a wide range of addictions, including alcohol, opioids, stimulants, prescription drugs, and polysubstance use. Whole-person care in a nature-based setting.</t>
  </si>
  <si>
    <t>Addictions Treated In Ojai Recovery</t>
  </si>
  <si>
    <t>Substances We Treat</t>
  </si>
  <si>
    <t>How We Treat Addiction Differently</t>
  </si>
  <si>
    <t>c929f5f6fda6c10cd875ea6dc2416a62</t>
  </si>
  <si>
    <t>https://ojairecovery.com/admissions/</t>
  </si>
  <si>
    <t>Admissions - Ojai Recovery</t>
  </si>
  <si>
    <t>Ojai Recovery makes it easy to get help. Call today for compassionate guidance, insurance verification, and admissions support for detox and residential treatment.</t>
  </si>
  <si>
    <t>Addmission Treated In Ojai Recovery</t>
  </si>
  <si>
    <t>What to Expect When You Call</t>
  </si>
  <si>
    <t>Who We Treat</t>
  </si>
  <si>
    <t>Fairly Hard</t>
  </si>
  <si>
    <t>8f4e619a91927915df69309662f74a13</t>
  </si>
  <si>
    <t>https://ojairecovery.com/aetna-addiction-treatment-coverage-california/</t>
  </si>
  <si>
    <t>Navigating Aetna Addiction Treatment Coverage in California | Your Guide</t>
  </si>
  <si>
    <t>Explore Aetna's coverage for addiction treatment in California, including detox, inpatient, outpatient, and dual diagnosis services. Learn about pre-certification requirements and find in-network providers near you.</t>
  </si>
  <si>
    <t>Navigate Aetna addiction treatment coverage in California with confidence. Find clarity on in-network benefits.</t>
  </si>
  <si>
    <t>Navigating Aetna Addiction Treatment Coverage in California</t>
  </si>
  <si>
    <t>142d1a58ef1322a9c2bc67d3a936fcd8</t>
  </si>
  <si>
    <t>https://ojairecovery.com/aftercare-alumni-services/</t>
  </si>
  <si>
    <t>put under about us</t>
  </si>
  <si>
    <t>Aftercare &amp; Alumni Services - Ojai Recovery</t>
  </si>
  <si>
    <t>Ojai Recovery provides long-term support through customized aftercare planning and a connected alumni community—because lasting recovery needs lasting connection.</t>
  </si>
  <si>
    <t>Aftercare &amp; Alumni Services</t>
  </si>
  <si>
    <t>What Happens After Treatment? We Help You Plan It</t>
  </si>
  <si>
    <t>75663def5f5a1c1e8274e1c564b386d9</t>
  </si>
  <si>
    <t>https://ojairecovery.com/alcohol-addiction-treatment-in-ventura-county/</t>
  </si>
  <si>
    <t>delete &amp; redirect to alcohol detox</t>
  </si>
  <si>
    <t>https://ojairecovery.com/addictions-treated/alcohol-addiction-treatment/</t>
  </si>
  <si>
    <t>Alcohol Detox in Ventura County : Ojai Recovery Oak View</t>
  </si>
  <si>
    <t>Ojai Recovery offers medically supervised alcohol detox in a peaceful, nature-rich setting. Begin healing safely with 24/7 care and a direct path into residential treatment.</t>
  </si>
  <si>
    <t>Alcohol Detox Ojai Recovery</t>
  </si>
  <si>
    <t>Why Supervised Alcohol Detox Is Essential</t>
  </si>
  <si>
    <t>daee22a2b06012f5f5ae4833dc9979c4</t>
  </si>
  <si>
    <t>https://ojairecovery.com/alcohol-addiction-treatment/</t>
  </si>
  <si>
    <t>nest under addictions treated</t>
  </si>
  <si>
    <t>Alcohol Addiction Treatment Ojai, Ventura County, CA</t>
  </si>
  <si>
    <t>Alcohol addiction often starts subtly, but over time, it takes a toll. At Ojai Recovery, we offer trauma-informed treatment and medically supervised detox in a peaceful, supportive setting, helping you heal with dignity and rediscover a life beyond alcohol.</t>
  </si>
  <si>
    <t>Recover from alcohol addiction with medically supervised detox and holistic residential care. Ojai Recovery helps you heal safely and rediscover life beyond drinking.</t>
  </si>
  <si>
    <t>Alcohol Addiction Treatment</t>
  </si>
  <si>
    <t>Do I Have a Problem With Alcohol?</t>
  </si>
  <si>
    <t>f2cacefbafc0fdd030a53e3e6cd46e8d</t>
  </si>
  <si>
    <t>https://ojairecovery.com/alcohol-detox/</t>
  </si>
  <si>
    <t>Post</t>
  </si>
  <si>
    <t>N</t>
  </si>
  <si>
    <t xml:space="preserve">recreate as page - nest under alcohol detox </t>
  </si>
  <si>
    <t>https://ojairecovery.com/detox-services/alcohol-detox/</t>
  </si>
  <si>
    <t>Alcohol Detox in Ventura County, CA | Ojai Recovery</t>
  </si>
  <si>
    <t>Embark on a journey to alcohol detox success with Ojai Recovery! Exceptional care for a new beginning.</t>
  </si>
  <si>
    <t>Discover the Benefits of Alcohol Detox with Ojai Recovery</t>
  </si>
  <si>
    <t>51843d67bd16c0330497ca9bf81be4f9</t>
  </si>
  <si>
    <t>https://ojairecovery.com/alcohol-rehab-centers-near-me/</t>
  </si>
  <si>
    <t>delete &amp; redirect</t>
  </si>
  <si>
    <t>Transform Your Life at Alcohol Rehab Centers Near Me | Start Recovery Today</t>
  </si>
  <si>
    <t>Find alcohol rehab centers near you offering personalized care and expert support. Take the first step toward lasting sobriety and a healthier future.</t>
  </si>
  <si>
    <t>Find top-tier alcohol rehab centers near you! Ojai Recovery offers personalized detox and rehabilitation services for lasting results.</t>
  </si>
  <si>
    <t>Transform Your Life at Alcohol Rehab Centers Near Me</t>
  </si>
  <si>
    <t>832a6c957201614b3bf3ca41d427c672</t>
  </si>
  <si>
    <t>https://ojairecovery.com/alcohol-rehab-centers/</t>
  </si>
  <si>
    <t>Why Ojai Recovery Is One of the Best Alcohol Rehab Centers</t>
  </si>
  <si>
    <t>Discover what sets Ojai Recovery apart as a top alcohol rehab center. Experience personalized treatment, compassionate care, and proven success in lasting sobriety.</t>
  </si>
  <si>
    <t>Discover why Ojai Recovery is among the best alcohol rehab centers, offering top-notch care and effective treatment options.</t>
  </si>
  <si>
    <t>What Makes Ojai Recovery One of the Best Alcohol Rehab Centers?</t>
  </si>
  <si>
    <t>55a201762994596963e802dec381383d</t>
  </si>
  <si>
    <t>https://ojairecovery.com/alcohol-rehab-facilities-near-me/</t>
  </si>
  <si>
    <t>Choosing the Right Alcohol Rehab Facilities Near You | Why It Matters</t>
  </si>
  <si>
    <t>Find out why selecting the right alcohol rehab facility near you is crucial for lasting recovery. Learn key factors to consider for effective, personalized treatment.</t>
  </si>
  <si>
    <t>Discover top alcohol rehab facilities near you at Ojai Recovery for personalized care from detox to recovery!</t>
  </si>
  <si>
    <t>Choosing the Right Alcohol Rehab Facilities Near You Matters</t>
  </si>
  <si>
    <t>91b45ac619641713e8ab4dff3fdbdeaa</t>
  </si>
  <si>
    <t>https://ojairecovery.com/alcohol-rehab-in-ventura-county-healing-the-mind-body-and-spirit-at-ojai-recovery/</t>
  </si>
  <si>
    <t>Alcohol Rehab in Ventura County | Healing the Mind, Body, and Spirit at Ojai</t>
  </si>
  <si>
    <t>Discover alcohol rehab in Ventura County at Ojai Recovery—medical detox, residential care, PHP, and IOP in a serene Ojai setting with evidence-based, holistic treatment and dual-diagnosis support.</t>
  </si>
  <si>
    <t>Alcohol Rehab in Ventura County: Healing the Mind, Body, and Spirit at Ojai Recovery</t>
  </si>
  <si>
    <t>Why Ventura County and Why Ojai Recovery</t>
  </si>
  <si>
    <t>a4e398ed97be37cb659bbad4d376bc08</t>
  </si>
  <si>
    <t>https://ojairecovery.com/alcohol-rehab-in-ventura-county-tailored-programs-for-lasting-recovery/</t>
  </si>
  <si>
    <t>Alcohol Rehab in Ventura County | Tailored Programs for Lasting Recovery</t>
  </si>
  <si>
    <t>Discover personalized alcohol rehab in Ventura County with evidence-based treatment and holistic healing. Luxury care for lasting recovery in Ventura County's serene valley.</t>
  </si>
  <si>
    <t>Alcohol Rehab in Ventura County | Tailored Programs for Lasting Recovery | Ojai Recovery</t>
  </si>
  <si>
    <t>Very Hard</t>
  </si>
  <si>
    <t>cba8a637404bc07363023b621690abeb</t>
  </si>
  <si>
    <t>https://ojairecovery.com/alcohol-rehabs-near-me/</t>
  </si>
  <si>
    <t>Ojai Recovery | Top Alcohol Rehab Near You for Lasting Recovery</t>
  </si>
  <si>
    <t>Discover why Ojai Recovery is the best choice among alcohol rehabs near you. Experience personalized care, expert support, and a proven path to lasting sobriety.</t>
  </si>
  <si>
    <t>Discover why Ojai Recovery stands out among alcohol rehabs near you. Industry-leading care awaits!</t>
  </si>
  <si>
    <t>Ojai Recovery: The Best Choice Among Alcohol Rehabs Near Me</t>
  </si>
  <si>
    <t>be6c4ea6930cf56cfd564dd30c8ab5b2</t>
  </si>
  <si>
    <t>https://ojairecovery.com/alcohol-rehabs/</t>
  </si>
  <si>
    <t>Choosing the Right Alcohol Rehab | Your Path to Healing</t>
  </si>
  <si>
    <t>Discover how to choose the right alcohol rehab for your recovery. Learn key factors to consider and find supportive, effective treatment tailored to your needs.</t>
  </si>
  <si>
    <t>Choose Ojai Recovery for top alcohol rehabs: expert care, personalized plans, and a path to healing.</t>
  </si>
  <si>
    <t>Your Path to Healing: Choosing the Right Alcohol Rehabs</t>
  </si>
  <si>
    <t>7bfca01b14a5267817a2e2e37b6ffe31</t>
  </si>
  <si>
    <t>https://ojairecovery.com/alcohol-withdrawal-symptoms-what-s-normal-and-when-to-seek-help/</t>
  </si>
  <si>
    <t>Understanding Alcohol Withdrawal Symptoms: We’re Here to Help - Ojai Recovery</t>
  </si>
  <si>
    <t>Discover alcohol withdrawal symptoms: what’s normal and when to seek help. Ojai Recovery is here to support you.</t>
  </si>
  <si>
    <t>Understanding Alcohol Withdrawal Symptoms: We’re Here to Help</t>
  </si>
  <si>
    <t>5116dd55237887434585f2c82a8411d9</t>
  </si>
  <si>
    <t>https://ojairecovery.com/anthem-insurance-for-mental-health-rehab/</t>
  </si>
  <si>
    <t>Navigating Anthem Insurance for Mental Health Rehab Services | Your Coverage Guide</t>
  </si>
  <si>
    <t>Learn how to navigate Anthem Insurance for mental health rehab services. Discover what’s covered, how to verify your benefits, and steps to access quality behavioral health care.</t>
  </si>
  <si>
    <t>Discover Anthem Insurance for mental health rehab services: demystifying coverage and navigating your path to care.</t>
  </si>
  <si>
    <t>Navigating Anthem Insurance for Mental Health Rehab Services</t>
  </si>
  <si>
    <t>478b576f8bb1dd0b69a33240221bfa1d</t>
  </si>
  <si>
    <t>https://ojairecovery.com/avante-insurance-accepted-at-rehab-facilities/</t>
  </si>
  <si>
    <t>Avante Insurance Accepted at Top Rehab Facilities | What You Need to Know</t>
  </si>
  <si>
    <t>Discover which top rehab facilities accept Avante Insurance. Learn about coverage options, how to verify your benefits, and steps to access quality addiction treatment with confidence.</t>
  </si>
  <si>
    <t>Discover how Avante Insurance supports your journey to top rehab facilities for addiction treatment.</t>
  </si>
  <si>
    <t>Avante Insurance: Accepted at Top Rehab Facilities Explained</t>
  </si>
  <si>
    <t>58aa9bdf5d1a8b66edcd1b69bee2d34</t>
  </si>
  <si>
    <t>https://ojairecovery.com/beacon-health-insurance-for-substance-abuse-treatment/</t>
  </si>
  <si>
    <t>Your Guide to Beacon Health Insurance for Substance Abuse Treatment | Coverage &amp; Access</t>
  </si>
  <si>
    <t>Understand your Beacon Health Insurance benefits for substance abuse treatment. Get clarity on what’s covered, how to verify eligibility, and the steps to access quality rehab services.</t>
  </si>
  <si>
    <t>Discover Beacon health insurance for substance abuse treatment. Navigate coverage options with confidence and clarity.</t>
  </si>
  <si>
    <t>Your Guide to Beacon Health Insurance for Substance Abuse Treatment</t>
  </si>
  <si>
    <t>85b18aa6f77fe9e1be02c7cd30f0879f</t>
  </si>
  <si>
    <t>https://ojairecovery.com/best-addiction-treatment-centers-near-me-in-ventura-county/</t>
  </si>
  <si>
    <t>Best Addiction Treatment Centers Near Me in Ventura County | Ojai Recovery</t>
  </si>
  <si>
    <t>Explore detox, residential, PHP, and IOP care at Ojai Recovery in Ventura County. Evidence-based treatment, dual-diagnosis support, and a serene Ojai setting designed for lasting recovery.</t>
  </si>
  <si>
    <t>Rediscovering Peace: Inside the Best Addiction Treatment Centers Near Me in Ventura County</t>
  </si>
  <si>
    <t>A Ventura County Setting That Lowers the Noise</t>
  </si>
  <si>
    <t>952aeb2a483f8989544022cb0f77b6ad</t>
  </si>
  <si>
    <t>https://ojairecovery.com/best-insurance-plans-for-addiction-treatment/</t>
  </si>
  <si>
    <t>Top Insurance Plans for Addiction Treatment | Find the Best Coverage Now</t>
  </si>
  <si>
    <t>Explore the best insurance plans for addiction treatment. Compare coverage options, understand benefits, and find the right plan to support your recovery journey today.</t>
  </si>
  <si>
    <t>Find the best insurance plans for addiction treatment now! Discover coverage options tailored to your needs.</t>
  </si>
  <si>
    <t>Get the Best Insurance Plans for Addiction Treatment Now</t>
  </si>
  <si>
    <t>ebf441d1a1e1c136b166ca22c004a5c5</t>
  </si>
  <si>
    <t>https://ojairecovery.com/blog/</t>
  </si>
  <si>
    <t>Y</t>
  </si>
  <si>
    <t>Add into Navigation</t>
  </si>
  <si>
    <t>Blog - Ojai Recovery</t>
  </si>
  <si>
    <t>Our Blog</t>
  </si>
  <si>
    <t>You Don’t Have to Know It All. Just Reach Out!</t>
  </si>
  <si>
    <t>Reach Out Today!</t>
  </si>
  <si>
    <t>https://ojairecovery.com/blog/page/2/</t>
  </si>
  <si>
    <t>c7b4cb7ce8f2729f4f48e2d57a3f7fba</t>
  </si>
  <si>
    <t>https://ojairecovery.com/cdn-cgi/l/email-protection</t>
  </si>
  <si>
    <t>Non-Indexable</t>
  </si>
  <si>
    <t>noindex</t>
  </si>
  <si>
    <t>Email Protection | Cloudflare</t>
  </si>
  <si>
    <t>Email Protection</t>
  </si>
  <si>
    <t>You are unable to access this email address ojairecovery.com</t>
  </si>
  <si>
    <t>noindex, nofollow</t>
  </si>
  <si>
    <t>Fairly Easy</t>
  </si>
  <si>
    <t>74eb6f77be89d3a63a4c8ee1373670b0</t>
  </si>
  <si>
    <t>https://ojairecovery.com/cigna-drug-and-alcohol-rehab-insurance/</t>
  </si>
  <si>
    <t>redirect to</t>
  </si>
  <si>
    <t>https://ojairecovery.com/verify-insurance/cigna</t>
  </si>
  <si>
    <t>Cigna Drug and Alcohol Rehab Insurance | Simplifying Your Recovery Journey</t>
  </si>
  <si>
    <t>Navigate Cigna coverage for drug and alcohol rehab with ease. Learn what’s covered, how to verify benefits, and the steps to streamline your path to recovery.</t>
  </si>
  <si>
    <t>Navigate Cigna drug and alcohol rehab insurance with ease. Simplify your journey to recovery today!</t>
  </si>
  <si>
    <t>Cigna Drug and Alcohol Rehab Insurance: Simplifying Your Journey</t>
  </si>
  <si>
    <t>8d81f4967407b6a78485377f78298935</t>
  </si>
  <si>
    <t>https://ojairecovery.com/co-occurring-disorders/</t>
  </si>
  <si>
    <t>nest under mental-health-support</t>
  </si>
  <si>
    <t>Dual Diagnosis &amp; Co-Occurring Treatment Ventura County, CA</t>
  </si>
  <si>
    <t>Addiction often comes with underlying mental health challenges. At Ojai Recovery, we specialize in treating co-occurring disorders with an integrated approach helping you heal fully, not just manage symptoms.</t>
  </si>
  <si>
    <t>Ojai Recovery offers fully integrated treatment for addiction and co-occurring mental health disorders. Heal safely and completely with our dual diagnosis program.</t>
  </si>
  <si>
    <t>Co-Occurring Disorders</t>
  </si>
  <si>
    <t>What Are Co-Occurring Disorders</t>
  </si>
  <si>
    <t>829023e9185be2eacecc40e9104a57f4</t>
  </si>
  <si>
    <t>https://ojairecovery.com/compsych-therapy-and-addiction-recovery-insurance/</t>
  </si>
  <si>
    <t>Understanding ComPsych Therapy &amp; Addiction Recovery Insurance | Coverage Guide</t>
  </si>
  <si>
    <t>Explore how ComPsych supports therapy and addiction recovery insurance. Learn what’s covered, how to check your benefits, and the steps to access quality behavioral health care with ease.</t>
  </si>
  <si>
    <t>Discover how Compsych Therapy and Addiction Recovery Insurance can support your journey to mental health and recovery.</t>
  </si>
  <si>
    <t>Understanding Compsych Therapy and Addiction Recovery Insurance</t>
  </si>
  <si>
    <t>follow, noindex</t>
  </si>
  <si>
    <t>b6aab8f461e78f4eb0160a8a7a771814</t>
  </si>
  <si>
    <t>https://ojairecovery.com/daily-life/</t>
  </si>
  <si>
    <t>keep under residential page</t>
  </si>
  <si>
    <t>Daily Life At Ojai Recovery | Structure, Community &amp; Purposeful Healing - Ojai Recovery</t>
  </si>
  <si>
    <t>Daily Life at Ojai Recovery</t>
  </si>
  <si>
    <t>Is Your Daily Routine Supporting Your Recovery?</t>
  </si>
  <si>
    <t>31d2bd6202808d55c6447c96611a79b1</t>
  </si>
  <si>
    <t>https://ojairecovery.com/depression-anxiety-trauma/</t>
  </si>
  <si>
    <t>Depression, Anxiety &amp; Trauma Treatment Ventura County</t>
  </si>
  <si>
    <t>Addiction often stems from unspoken pain. At Ojai Recovery, we treat the trauma, depression, and anxiety at its core creating a safe, supportive space where true healing can begin.</t>
  </si>
  <si>
    <t>Ojai Recovery treats addiction at the root by addressing depression, anxiety, and trauma with licensed therapists and holistic care. Heal with safety, depth, and dignity.</t>
  </si>
  <si>
    <t>Depression, Anxiety &amp; Trauma</t>
  </si>
  <si>
    <t>When Emotional Pain Fuels Addiction</t>
  </si>
  <si>
    <t>904eaa78e5fcfb744b8ac01b1292f7bd</t>
  </si>
  <si>
    <t>https://ojairecovery.com/detox-centers-in-ojai-your-guide-to-local-options/</t>
  </si>
  <si>
    <t>https://ojairecovery.com/detox-services/</t>
  </si>
  <si>
    <t>Detox Centers in Ojai | Safe, Supervised Addiction Care | Ojai Recovery</t>
  </si>
  <si>
    <t>Start recovery with expert detox in Ojai. Safe, supervised care for alcohol, drug, and prescription addiction in a serene, nature-immersed setting.</t>
  </si>
  <si>
    <t>Detox Centers in Ojai: Your Guide to Local Options</t>
  </si>
  <si>
    <t>272e24c2003feb88c73cf5510cc96a21</t>
  </si>
  <si>
    <t>https://ojairecovery.com/detox-centers-near-me/</t>
  </si>
  <si>
    <t>Why Detox Centers Near Me Are Essential | Key to Lasting Recovery</t>
  </si>
  <si>
    <t>Discover why local detox centers are crucial for safe, effective addiction recovery. Learn how nearby facilities provide medical support and a strong foundation for healing.</t>
  </si>
  <si>
    <t>Discover the crucial role of detox centers near you in recovery. Choose Ojai Recovery for expert drug and alcohol treatment.</t>
  </si>
  <si>
    <t>Why Detox Centers Near Me Are Essential for Recovery</t>
  </si>
  <si>
    <t>e00dcaf87068d0a74647b89dd9d8fc70</t>
  </si>
  <si>
    <t>https://ojairecovery.com/detox-for-drug/</t>
  </si>
  <si>
    <t>https://ojairecovery.com/detox-services/drug-detox/</t>
  </si>
  <si>
    <t>Detox for Drug Addiction Treatment | Essential Guide to Recovery</t>
  </si>
  <si>
    <t>Learn the essentials of detox for drug addiction treatment. Understand the process, medical supervision, and how detox sets the foundation for lasting recovery.</t>
  </si>
  <si>
    <t>Discover the power of detox for drug addiction treatment at Ojai Recovery. Your path to recovery starts here.</t>
  </si>
  <si>
    <t>The Essential Guide to Detox for Drug Addiction Treatment</t>
  </si>
  <si>
    <t>48128afacfc9845981bfe3b6f030731</t>
  </si>
  <si>
    <t>https://ojairecovery.com/detox-from-alcohol/</t>
  </si>
  <si>
    <t>Transform Your Life with Safe Alcohol Detox | Start Recovery Today</t>
  </si>
  <si>
    <t>Discover how to detox from alcohol safely and effectively. Learn about medically supervised detox options that set the foundation for lasting recovery.</t>
  </si>
  <si>
    <t>Detox from alcohol the right way with Ojai Recovery's personalized treatment plans and holistic wellness approach.</t>
  </si>
  <si>
    <t>Transform Your Life: Detox from Alcohol the Right Way</t>
  </si>
  <si>
    <t>df7ed60da9ddb170c6f7ba0e5b4ffa4b</t>
  </si>
  <si>
    <t>Detox Service in Ojai, Malibu, Ventura County, California</t>
  </si>
  <si>
    <t>At Ojai Recovery, we understand that taking the first step toward healing often begins with detox.</t>
  </si>
  <si>
    <t>Ojai Recovery offers safe, compassionate detox services for alcohol, opioids, and other substances. Begin your recovery journey in a supportive, peaceful environment.</t>
  </si>
  <si>
    <t>Detox Services Ojai Recovery</t>
  </si>
  <si>
    <t>A Safe and Supportive Path to Detox</t>
  </si>
  <si>
    <t>Substances We Safely Detox From</t>
  </si>
  <si>
    <t>76e4936284564f39d074a347bf7edab0</t>
  </si>
  <si>
    <t>https://ojairecovery.com/detoxing-from-benzodiazepines-why-you-should-never-go-cold-turkey/</t>
  </si>
  <si>
    <t>Detoxing from Benzodiazepines: Why We Say No to Cold Turkey - Ojai Recovery</t>
  </si>
  <si>
    <t>Discover why detoxing from benzodiazepines without professional guidance is a risky choice. Opt for safe and gradual withdrawal methods.</t>
  </si>
  <si>
    <t>Detoxing from Benzodiazepines: Why We Say No to Cold Turkey</t>
  </si>
  <si>
    <t>51200b40f09eab695ff0a73e8f64182a</t>
  </si>
  <si>
    <t>https://ojairecovery.com/difference-between-private-and-insurance-funded-rehab/</t>
  </si>
  <si>
    <t>Private vs. Insurance-Funded Rehab | Key Differences Explained</t>
  </si>
  <si>
    <t>Discover the main differences between private-pay and insurance-funded rehab programs. Compare costs, access, amenities, and treatment options to choose what’s right for your recovery.</t>
  </si>
  <si>
    <t>Discover the key variances between private and insurance-funded rehab. Choose the right path to recovery today!</t>
  </si>
  <si>
    <t>Understanding the Difference Between Private and Insurance-Funded Rehab</t>
  </si>
  <si>
    <t>1c8fcc10eee35a0d38e8f1f2e7ff07e4</t>
  </si>
  <si>
    <t>https://ojairecovery.com/does-aetna-cover-addiction-treatment-your-complete-guide-to-benefits-and-coverage/</t>
  </si>
  <si>
    <t>Does Aetna Cover Addiction Treatment? Your Complete Guide to Benefits and Coverage</t>
  </si>
  <si>
    <t>Does Aetna cover addiction treatment? Discover your Aetna insurance benefits for rehab, detox, and mental health care. Find affordable rehab Ventura County CA options today.</t>
  </si>
  <si>
    <t>f5c4705236b0d9218b7e184b9f5cd192</t>
  </si>
  <si>
    <t>https://ojairecovery.com/does-blue-cross-blue-shield-cover-rehab/</t>
  </si>
  <si>
    <t>Does Blue Cross Blue Shield Cover Rehab? | Comprehensive Coverage Guide</t>
  </si>
  <si>
    <t>Learn if Blue Cross Blue Shield covers rehab services and how to check your benefits quickly.</t>
  </si>
  <si>
    <t>Discover if Blue Cross Blue Shield covers rehab for you. Unveil clarity on in-network benefits and unwind worries.</t>
  </si>
  <si>
    <t>Does Blue Cross Blue Shield Cover Rehab? Clarity Awaits You</t>
  </si>
  <si>
    <t>b3e7f381a06a592e4ea9af986ecdb9f7</t>
  </si>
  <si>
    <t>https://ojairecovery.com/does-insurance-cover-dual-diagnosis-treatment/</t>
  </si>
  <si>
    <t>Does Insurance Cover Dual Diagnosis Treatment? | What You Need to Know</t>
  </si>
  <si>
    <t>Find out if your insurance covers dual diagnosis treatment for co-occurring mental health and substance use disorders. Learn about coverage options, eligibility, and how to verify your benefits.</t>
  </si>
  <si>
    <t>Discover if insurance covers dual diagnosis treatment. Unveil the facts for clarity on mental health coverage.</t>
  </si>
  <si>
    <t>Understanding: Does Insurance Cover Dual Diagnosis Treatment?</t>
  </si>
  <si>
    <t>8626ba92bddb104d6e6562f1d1f1ae91</t>
  </si>
  <si>
    <t>https://ojairecovery.com/does-insurance-cover-family-therapy-during-rehab/</t>
  </si>
  <si>
    <t>Does Insurance Cover Family Therapy During Rehab? | Find Out Now</t>
  </si>
  <si>
    <t>Discover if your insurance covers family therapy during rehab. Learn about typical coverage, verification tips, and how family involvement supports recovery.</t>
  </si>
  <si>
    <t>Discover if insurance covers family therapy during rehab. Simplify the complex to navigate benefits effortlessly!</t>
  </si>
  <si>
    <t>Does Insurance Cover Family Therapy During Rehab? Find Out Now</t>
  </si>
  <si>
    <t>f0725a152a125bb71e748b658a72e15f</t>
  </si>
  <si>
    <t>https://ojairecovery.com/does-insurance-cover-holistic-addiction-treatment/</t>
  </si>
  <si>
    <t>Does Insurance Cover Holistic Addiction Treatment? | Find Out Now</t>
  </si>
  <si>
    <t>Explore whether your insurance plan covers holistic addiction treatment like yoga, acupuncture, nutrition therapy, and more. Learn how to check your benefits and access integrated recovery care.</t>
  </si>
  <si>
    <t>Unveil if your insurance covers holistic addiction treatment and take charge of your path to recovery!</t>
  </si>
  <si>
    <t>Discover If Your Insurance Covers Holistic Addiction Treatment</t>
  </si>
  <si>
    <t>5277636b0a21abd4dd47d81e1b260d2c</t>
  </si>
  <si>
    <t>https://ojairecovery.com/does-insurance-pay-for-trauma-treatment/</t>
  </si>
  <si>
    <t>Does Insurance Cover Trauma Treatment? | Get the Clarity You Need</t>
  </si>
  <si>
    <t>Find out if your insurance covers trauma treatment, including therapy, inpatient care, and PTSD support. Learn how to verify benefits and access the care you deserve.</t>
  </si>
  <si>
    <t>Discover if insurance covers trauma treatment. Clear guidance awaits on in-network benefits &amp; out-of-pocket worries.</t>
  </si>
  <si>
    <t>Does Insurance Pay for Trauma Treatment? Clarity Awaits You</t>
  </si>
  <si>
    <t>21a08ad26d3b78f52c659a65e5975b33</t>
  </si>
  <si>
    <t>https://ojairecovery.com/does-rehab-count-toward-out-of-pocket-maximum/</t>
  </si>
  <si>
    <t>Does Rehab Count Toward Your Out-of-Pocket Maximum? | Find Out Now</t>
  </si>
  <si>
    <t>Learn if rehab expenses apply to your insurance out-of-pocket maximum. Understand how coverage limits work to better plan your addiction treatment costs.</t>
  </si>
  <si>
    <t>Unveil the truth: Does rehab count towards your out of pocket maximum? Get the facts now!</t>
  </si>
  <si>
    <t>Does Rehab Count Toward Your Out of Pocket Maximum? Find Out!</t>
  </si>
  <si>
    <t>d0a61fe9ecb51c6b18b665c747407710</t>
  </si>
  <si>
    <t>https://ojairecovery.com/drug-detox-at-home/</t>
  </si>
  <si>
    <t>Drug Detox at Home | Your Path to Recovery Explained</t>
  </si>
  <si>
    <t>Learn about drug detox at home—benefits, risks, and when it’s a safe option. Understand how to prepare and get support for a successful recovery journey.</t>
  </si>
  <si>
    <t>Considering drug detox at home? Uncover the risks and importance of professional care for successful recovery.</t>
  </si>
  <si>
    <t>Your Path to Recovery: Drug Detox at Home Explained</t>
  </si>
  <si>
    <t>a651e8594f749c3cd555bb817c0e944e</t>
  </si>
  <si>
    <t>https://ojairecovery.com/drug-detox-in-ojai-california-what-makes-it-unique/</t>
  </si>
  <si>
    <t>Drug Detox in Ojai, CA | Personalized Recovery at Ojai Recovery</t>
  </si>
  <si>
    <t>Begin your recovery journey with personalized drug detox and holistic care at Ojai Recovery. Safe, supportive environment in Ojai, Ventura County.</t>
  </si>
  <si>
    <t>Drug Detox in Ojai, California: What Makes It Unique</t>
  </si>
  <si>
    <t>f26ef9c6ea224d0290237d25d4b9981b</t>
  </si>
  <si>
    <t>https://ojairecovery.com/drug-detox/</t>
  </si>
  <si>
    <t>Recreate as page</t>
  </si>
  <si>
    <t>Drug Detox Center in Ojai, Ventura County, CA</t>
  </si>
  <si>
    <t>Ojai Recovery offers safe, medically supervised drug detox in Ojai, California in a peaceful setting. Begin healing with 24/7 care, trauma-informed support, and a direct path to recovery. Call 805-273-8798.</t>
  </si>
  <si>
    <t>Ojai Recovery offers safe, medically supervised drug detox in a peaceful setting. Begin healing with 24/7 care, trauma-informed support, and a direct path to recovery.</t>
  </si>
  <si>
    <t>Drug Detox Ojai Recovery</t>
  </si>
  <si>
    <t>Why Supervised Drug Detox Is Essential</t>
  </si>
  <si>
    <t>c1d62602a448aaf38b4101eb84a98b95</t>
  </si>
  <si>
    <t>https://ojairecovery.com/drug-rehab-centers-near-me/</t>
  </si>
  <si>
    <t>https://ojairecovery.com/addictions-treated/drug-addiction-treatment</t>
  </si>
  <si>
    <t>Why Ojai Recovery Stands Out Among Drug Rehab Centers Near You</t>
  </si>
  <si>
    <t>Discover what makes Ojai Recovery a leading choice among drug rehab centers near you. Experience personalized care, expert support, and a proven path to lasting recovery.</t>
  </si>
  <si>
    <t>Discover why Ojai Recovery shines among drug rehab centers near you. Tailored treatment plans for successful recovery!</t>
  </si>
  <si>
    <t>Why Ojai Recovery Stands Out Among Drug Rehab Centers Near Me</t>
  </si>
  <si>
    <t>f3eb345be5089e7b23f28ef7447eefdc</t>
  </si>
  <si>
    <t>https://ojairecovery.com/drug-rehab-centers/</t>
  </si>
  <si>
    <t>Transform Your Life at Leading Drug Rehab Centers | Start Today</t>
  </si>
  <si>
    <t>Discover top drug rehab centers offering expert care and personalized treatment. Begin your journey to lasting recovery and a healthier life today.</t>
  </si>
  <si>
    <t>Choose Ojai Recovery for top drug rehab centers! Personalized care, evidence-based therapies, and aftercare for sustained recovery.</t>
  </si>
  <si>
    <t>Transform Your Life at Leading Drug Rehab Centers Today</t>
  </si>
  <si>
    <t>e72cb1bfe36cf687ed0920b848247d88</t>
  </si>
  <si>
    <t>https://ojairecovery.com/drug-rehab-clinics/</t>
  </si>
  <si>
    <t>Ojai Recovery | Trusted Drug Rehab Clinic for Effective Healing</t>
  </si>
  <si>
    <t>Choose Ojai Recovery, a leading drug rehab clinic offering personalized, evidence-based treatment. Start your journey toward lasting recovery with expert care.</t>
  </si>
  <si>
    <t>Ojai Recovery: Elevate your journey to sobriety with our leading drug rehab clinics. Find hope and healing here.</t>
  </si>
  <si>
    <t>Ojai Recovery: A Leading Choice Among Drug Rehab Clinics</t>
  </si>
  <si>
    <t>396a684297610eea1be4109a37466ad1</t>
  </si>
  <si>
    <t>https://ojairecovery.com/drug-rehab-facilities-near-me/</t>
  </si>
  <si>
    <t>Ojai Recovery | Leading Drug Rehab Facility for Lasting Healing</t>
  </si>
  <si>
    <t>Choose Ojai Recovery for expert drug rehab services. Personalized treatment, compassionate care, and proven results make us a top facility for your recovery journey.</t>
  </si>
  <si>
    <t>Why choose Ojai Recovery for drug rehab? Discover leading care levels and personalized treatment at your fingertips.</t>
  </si>
  <si>
    <t>Ojai Recovery: A Leading Choice Among Drug Rehab Facilities</t>
  </si>
  <si>
    <t>4f3bbef44243f03709b142b2ff116c25</t>
  </si>
  <si>
    <t>https://ojairecovery.com/drug-rehab-facilities/</t>
  </si>
  <si>
    <t>Transform Your Life at Ojai Recovery Drug Rehab Facilities</t>
  </si>
  <si>
    <t>Experience personalized, compassionate care at Ojai Recovery drug rehab facilities. Start your journey to lasting recovery with expert support and evidence-based treatment.</t>
  </si>
  <si>
    <t>Choose Ojai Recovery drug rehab facilities for top-tier addiction treatment. Discover success rates and specialized staff support.</t>
  </si>
  <si>
    <t>e81039c0902baea8d44d00adf2b2991b</t>
  </si>
  <si>
    <t>https://ojairecovery.com/drug-rehab-in-ventura-county-ca-local-treatment-paths/</t>
  </si>
  <si>
    <t>Drug Rehab in Ventura County, CA | Local Treatment Paths</t>
  </si>
  <si>
    <t>Discover personalized drug rehab in Ventura County, CA. Experience evidence-based treatment in a serene valley setting designed for lasting recovery and transformation.</t>
  </si>
  <si>
    <t>780139879021488ef6b316d344b7fd63</t>
  </si>
  <si>
    <t>https://ojairecovery.com/drug-rehab-near-me/</t>
  </si>
  <si>
    <t>Ojai Recovery | Trusted Drug Rehab Near You for Lasting Healing</t>
  </si>
  <si>
    <t>Find trusted drug rehab near you at Ojai Recovery. Experience compassionate, evidence-based treatment tailored to your needs for a successful recovery journey.</t>
  </si>
  <si>
    <t>Trust Ojai Recovery, the drug rehab near me with tailored plans and aftercare for lasting sobriety.</t>
  </si>
  <si>
    <t>Ojai Recovery: The Drug Rehab Near Me You Can Trust</t>
  </si>
  <si>
    <t>a9574d402af4e3fb6b4fccc8a0710b1c</t>
  </si>
  <si>
    <t>https://ojairecovery.com/drug-rehab-programs/</t>
  </si>
  <si>
    <t>Transform Your Life with Ojai’s Drug Rehab Programs | Start Today</t>
  </si>
  <si>
    <t>Begin your recovery journey with Ojai’s drug rehab programs. Personalized, compassionate care designed to help you heal and build a healthier future.</t>
  </si>
  <si>
    <t>Explore industry-leading drug rehab programs at Ojai Recovery for personalized care and lasting sobriety.</t>
  </si>
  <si>
    <t>Transform Your Life with Ojais Drug Rehab Programs Today</t>
  </si>
  <si>
    <t>ea06d8fd7a3e60a56d573196627958a2</t>
  </si>
  <si>
    <t>https://ojairecovery.com/drug-rehabs-near-me/</t>
  </si>
  <si>
    <t>Drug Rehabs Near Me | Get Help Today for Real Recovery</t>
  </si>
  <si>
    <t>Find drug rehabs near you that provide compassionate, effective treatment. Start your journey to lasting recovery with support tailored to your needs.</t>
  </si>
  <si>
    <t>Discover drug rehabs near me at Ojai Recovery. Personalized care and evidence-based therapies for lasting sobriety.</t>
  </si>
  <si>
    <t>Get Help Today: Drug Rehabs Near Me That Make a Difference</t>
  </si>
  <si>
    <t>82f19aca4ca7026ff2d5da742ede8ccb</t>
  </si>
  <si>
    <t>https://ojairecovery.com/expressive-arts-yoga-meditation/</t>
  </si>
  <si>
    <t>nest under therapies-experiences/</t>
  </si>
  <si>
    <t>Expressive Arts, Yoga &amp; Meditation - Ojai Recovery</t>
  </si>
  <si>
    <t>Ojai Recovery integrates art therapy, yoga, and mindfulness to support emotional release, nervous system healing, and whole-person recovery.</t>
  </si>
  <si>
    <t>Expressive Arts, Yoga &amp; Meditation</t>
  </si>
  <si>
    <t>Why These Practices Matter in Recovery</t>
  </si>
  <si>
    <t>c66eace71d5afe495d255fc94fd51d44</t>
  </si>
  <si>
    <t>https://ojairecovery.com/financial-assistance-for-rehab-in-california/</t>
  </si>
  <si>
    <t>Financial Assistance for Rehab in California | Affordable Recovery Options</t>
  </si>
  <si>
    <t>Discover financial assistance programs for rehab in California. Learn about state-funded options, sliding-scale payments, and how to access affordable addiction treatment today.</t>
  </si>
  <si>
    <t>Discover financial assistance for rehab in California. Uncover funding options for addiction and mental health treatment.</t>
  </si>
  <si>
    <t>Find Out About Financial Assistance for Rehab in California</t>
  </si>
  <si>
    <t>5d4330059941d9c29606f96bf6031677</t>
  </si>
  <si>
    <t>https://ojairecovery.com/firstcare-health-plan-detox-and-rehab-coverage/</t>
  </si>
  <si>
    <t>Maximize Your FirstCare Health Plan Detox Coverage | Essential Guide</t>
  </si>
  <si>
    <t>Unlock the full potential of your FirstCare Health Plan detox coverage. Learn about prior authorization requirements, covered services, and how to access quality care for a successful recovery journey.</t>
  </si>
  <si>
    <t>Optimize your firstcare health plan with comprehensive detox and rehab coverage tailored for you.</t>
  </si>
  <si>
    <t>Get the Most from Your FirstCare Health Plan Detox Coverage</t>
  </si>
  <si>
    <t>24f80d7940106916625536c66db82025</t>
  </si>
  <si>
    <t>https://ojairecovery.com/getting-prior-authorization-for-rehab/</t>
  </si>
  <si>
    <t>Simplifying Prior Authorization for Rehab Services | Easy Approval Guide</t>
  </si>
  <si>
    <t>Learn how to simplify the prior authorization process for rehab services. Step-by-step tips to get approval faster and start your treatment without delays.</t>
  </si>
  <si>
    <t>Get prior authorization for rehab services hassle-free! Clear steps for your [Provider Name] coverage for addiction &amp; mental health treatment.</t>
  </si>
  <si>
    <t>Simplifying Getting Prior Authorization for Rehab Services</t>
  </si>
  <si>
    <t>172f52744218802f74ac2ba2d6c5d7cd</t>
  </si>
  <si>
    <t>https://ojairecovery.com/group-therapy/</t>
  </si>
  <si>
    <t>Group Therapy - Ojai Recovery</t>
  </si>
  <si>
    <t>Ojai Recovery offers clinically led group therapy sessions that help clients build connection, reduce shame, and grow together in a safe, trauma-informed environment.</t>
  </si>
  <si>
    <t>Group Therapy</t>
  </si>
  <si>
    <t>Why Group Therapy Works</t>
  </si>
  <si>
    <t>e5ff0f915aa8dc5732b3e8974b1bf7df</t>
  </si>
  <si>
    <t>https://ojairecovery.com/health-net-dual-diagnosis-treatment-coverage/</t>
  </si>
  <si>
    <t>Get the Most from Your Health Net Dual Diagnosis Treatment Coverage | Maximize Benefits</t>
  </si>
  <si>
    <t>Unlock the full potential of your Health Net dual diagnosis coverage. Learn what co-occurring treatment options are included, how to verify your benefits, and steps to seamlessly access comprehensive mental health and substance use care.</t>
  </si>
  <si>
    <t>Maximize your Health Net dual diagnosis treatment coverage. Uncover benefits and next steps for optimal care.</t>
  </si>
  <si>
    <t>Get the Most from Your Health Net Dual Diagnosis Treatment Coverage</t>
  </si>
  <si>
    <t>fc3e4c573efaeac06134fcc63fb99abd</t>
  </si>
  <si>
    <t>https://ojairecovery.com/health-smart-insurance-for-addiction-programs/</t>
  </si>
  <si>
    <t>Your Guide to HealthSmart Insurance for Addiction Programs | Coverage Simplified</t>
  </si>
  <si>
    <t>Understand HealthSmart insurance for addiction programs—find out what’s covered, how to verify your benefits, and steps to access quality care with clarity and confidence.</t>
  </si>
  <si>
    <t>Unravel the secrets of health smart insurance for addiction programs - Your guide to comprehensive coverage awaits!</t>
  </si>
  <si>
    <t>Your Guide to Health Smart Insurance for Addiction Programs</t>
  </si>
  <si>
    <t>92cf52bb93126e4fee35e2e414f443be</t>
  </si>
  <si>
    <t>https://ojairecovery.com/high-end-rehabs-that-work-with-insurance/</t>
  </si>
  <si>
    <t>High-End Rehabs That Accept Insurance | Luxury Care Made Accessible</t>
  </si>
  <si>
    <t>Discover top-tier, high-end rehab centers that accept insurance. Learn how to verify coverage and access premium addiction treatment without paying entirely out-of-pocket.</t>
  </si>
  <si>
    <t>Discover high-end rehabs that accept insurance effortlessly. Navigate coverage with ease for effective addiction and mental health treatment.</t>
  </si>
  <si>
    <t>Find High End Rehabs That Work with Insurance Easily</t>
  </si>
  <si>
    <t>733533dcdabbae6385594682f4859ea0</t>
  </si>
  <si>
    <t>https://ojairecovery.com/holman-group-coverage-for-addiction-treatment/</t>
  </si>
  <si>
    <t>Maximize Holman Group Coverage for Addiction | Boost Your Benefits</t>
  </si>
  <si>
    <t>Learn how to maximize your Holman Group addiction treatment coverage. Discover covered services, benefit verification steps, and tips to access quality care efficiently.</t>
  </si>
  <si>
    <t>Unveil Holman Group coverage for addiction treatment. Discover your benefits for residential care and detox services!</t>
  </si>
  <si>
    <t>Maximize Your Benefits: Holman Group Coverage for Addiction</t>
  </si>
  <si>
    <t>226b245be5a0177f374d5afe8cfb8487</t>
  </si>
  <si>
    <t>https://ojairecovery.com/how-medical-detox-supports-long-term-sobriety/</t>
  </si>
  <si>
    <t>The Vital Role of Medical Detox in Our Sobriety Success - Ojai Recovery</t>
  </si>
  <si>
    <t>Discover how medical detox supports long-term sobriety. Dive into the critical role it plays in recovery success!</t>
  </si>
  <si>
    <t>The Vital Role of Medical Detox in Our Sobriety Success</t>
  </si>
  <si>
    <t>107f5a27773e46bd0d4639ea4cc87237</t>
  </si>
  <si>
    <t>https://ojairecovery.com/how-to-choose-a-rehab-that-takes-your-insurance/</t>
  </si>
  <si>
    <t>Find Rehab That Accepts Your Insurance | How to Choose the Right Facility</t>
  </si>
  <si>
    <t>Learn how to choose rehab centers that accept your insurance. Tips on verifying coverage, understanding benefits, and selecting quality addiction treatment tailored to your plan.</t>
  </si>
  <si>
    <t>Discover how to choose a rehab that takes your insurance. Your path to support starts here!</t>
  </si>
  <si>
    <t>Find the Right Rehab: How to Choose One That Takes Your Insurance</t>
  </si>
  <si>
    <t>a330b419aac2bac5464338f507b41f4e</t>
  </si>
  <si>
    <t>https://ojairecovery.com/how-to-get-started/</t>
  </si>
  <si>
    <t>How To Get Started - Ojai Recovery</t>
  </si>
  <si>
    <t>Learn how to begin treatment at Ojai Recovery with our clear, supportive admissions process. Call today for confidential help, insurance verification, and next steps.</t>
  </si>
  <si>
    <t>How to Get Started</t>
  </si>
  <si>
    <t>67461b68b547ce210a8621f865a1bcd4</t>
  </si>
  <si>
    <t>https://ojairecovery.com/how-to-verify-insurance-for-rehab/</t>
  </si>
  <si>
    <t>How to Verify Insurance for Rehab | Unlock Coverage with Confidence</t>
  </si>
  <si>
    <t>Learn how to verify your insurance for rehab treatment. Get step-by-step guidance to confirm coverage, avoid unexpected costs, and access the care you need with ease.</t>
  </si>
  <si>
    <t>Discover how to verify insurance for rehab seamlessly! Get clarity on coverage for addiction and mental health treatment.</t>
  </si>
  <si>
    <t>Unlocking Coverage: How to Verify Insurance for Rehab</t>
  </si>
  <si>
    <t>e59664b062015d9bc60f0385035ceb75</t>
  </si>
  <si>
    <t>https://ojairecovery.com/how-trauma-can-complicate-the-detox-process-and-how-we-treat-it/</t>
  </si>
  <si>
    <t>How We Tackle Trauma to Improve Your Detox Experience - Ojai Recovery</t>
  </si>
  <si>
    <t>Discover how we address trauma to enhance your detox experience. Our tailored approach supports holistic healing.</t>
  </si>
  <si>
    <t>Understanding Trauma and Addiction</t>
  </si>
  <si>
    <t>Importance of Addressing Trauma in Recovery</t>
  </si>
  <si>
    <t>2d87a55ee399047bf25bf658571213b6</t>
  </si>
  <si>
    <t>https://ojairecovery.com/humana-insurance-drug-rehab-coverage/</t>
  </si>
  <si>
    <t>Humana Insurance Drug Rehab Coverage | Your Essential Guide</t>
  </si>
  <si>
    <t>Explore Humana's drug rehab coverage options, including inpatient and outpatient services, detox, and medication-assisted treatment. Learn how to verify your benefits and find in-network providers to maximize your coverage.</t>
  </si>
  <si>
    <t>Unlock Humana insurance drug rehab coverage details! Navigate in-network benefits for addiction &amp; mental health treatment.</t>
  </si>
  <si>
    <t>Humana Insurance Drug Rehab Coverage: Your Essential Guide</t>
  </si>
  <si>
    <t>46699b118e92d4f24f2c4a84333154c5</t>
  </si>
  <si>
    <t>https://ojairecovery.com/individual-group-therapy/</t>
  </si>
  <si>
    <t>Individual &amp; Group Therapy Ventura County, CA</t>
  </si>
  <si>
    <t>At Ojai Recovery, therapy is more than talk it’s a space to be truly seen and supported. Through individual and group sessions, we help you explore your story, heal its roots, and rebuild with care and connection.</t>
  </si>
  <si>
    <t>Explore how individual and group therapy support lasting recovery. Trauma-informed, clinically grounded, and tailored to your story and goals.</t>
  </si>
  <si>
    <t>Individual &amp; Group Therapy</t>
  </si>
  <si>
    <t>Individual Therapy Personal, Private, Powerful</t>
  </si>
  <si>
    <t>73901e76d047081db84d8e01254fa7e6</t>
  </si>
  <si>
    <t>https://ojairecovery.com/individual-therapy/</t>
  </si>
  <si>
    <t>Individual Therapy - Ojai Recovery</t>
  </si>
  <si>
    <t>Ojai Recovery offers one-on-one therapy with licensed clinicians to explore trauma, addiction, mental health, and personal growth in a safe, personalized setting.</t>
  </si>
  <si>
    <t>Individual Therapy</t>
  </si>
  <si>
    <t>Why Individual Therapy Matters in Recovery</t>
  </si>
  <si>
    <t>2116d36d2b222f38687acf8a547a0430</t>
  </si>
  <si>
    <t>https://ojairecovery.com/inpatient-mental-health/</t>
  </si>
  <si>
    <t>Why Inpatient Mental Health Care Matters | Essential for Lasting Recovery</t>
  </si>
  <si>
    <t>Discover why inpatient mental health care is vital for recovery. Learn how 24/7 support, structured environments, and personalized treatment plans provide the foundation for lasting wellness.</t>
  </si>
  <si>
    <t>Discover why inpatient mental health care is crucial for your recovery journey. Explore intensive programs and tailored treatment plans!</t>
  </si>
  <si>
    <t>Inpatient vs. Outpatient Care</t>
  </si>
  <si>
    <t>Intensive Inpatient Programs</t>
  </si>
  <si>
    <t>6d1c9c1ce4c6c288f6f8c8c97504f78</t>
  </si>
  <si>
    <t>https://ojairecovery.com/inpatient-rehabs-near-me/</t>
  </si>
  <si>
    <t>https://ojairecovery.com/residential-treatment/</t>
  </si>
  <si>
    <t>Top Inpatient Rehabs Near Me | Find Lasting Recovery Options</t>
  </si>
  <si>
    <t>Explore top inpatient rehab centers near you offering comprehensive addiction treatment. Get the care you need for lasting recovery in a supportive environment.</t>
  </si>
  <si>
    <t>Find top inpatient rehabs near you for lasting recovery with Ojai Recovery's leading and tailored treatment programs.</t>
  </si>
  <si>
    <t>Discover Top Inpatient Rehabs Near Me for Lasting Recovery</t>
  </si>
  <si>
    <t>e57407b5fb5abf9e4edc8edd32cd1508</t>
  </si>
  <si>
    <t>https://ojairecovery.com/inpatient-rehabs/</t>
  </si>
  <si>
    <t>delete &amp; redirect - same as residential</t>
  </si>
  <si>
    <t>Benefits of Inpatient Rehab at Ojai Recovery | Comprehensive Care</t>
  </si>
  <si>
    <t>Explore the benefits of inpatient rehab at Ojai Recovery. Receive 24/7 medical support, personalized treatment, and a structured environment for effective addiction recovery.</t>
  </si>
  <si>
    <t>Discover the benefits of inpatient rehabs at Ojai Recovery. Tailored programs and 24/7 support for your journey to recovery.</t>
  </si>
  <si>
    <t>Discover the Benefits of Inpatient Rehabs at Ojai Recovery</t>
  </si>
  <si>
    <t>6f2c6d2e557ccfb7938e612d919af81</t>
  </si>
  <si>
    <t>https://ojairecovery.com/inpatient-vs-outpatient/</t>
  </si>
  <si>
    <t>Keep</t>
  </si>
  <si>
    <t>Inpatient vs Outpatient Rehab | Choosing the Right Treatment for You</t>
  </si>
  <si>
    <t>Compare inpatient and outpatient rehab options to find the best fit for your recovery. Learn about differences in care, costs, and benefits to make an informed choice.</t>
  </si>
  <si>
    <t>Inpatient vs Outpatient: Find the ideal rehab choice for you or a loved one with expert insights. Choose wisely!</t>
  </si>
  <si>
    <t>Inpatient vs Outpatient: Making the Right Choice for Rehab</t>
  </si>
  <si>
    <t>31b1327dc088039a1002dd7b9eaaf9c3</t>
  </si>
  <si>
    <t>https://ojairecovery.com/insurance-accepted-for-inpatient-addiction-treatment/</t>
  </si>
  <si>
    <t>What Insurance Covers Inpatient Addiction Treatment? | Accepted Plans</t>
  </si>
  <si>
    <t>Discover which insurance providers cover inpatient addiction treatment. Learn how to verify your benefits and find in-network rehab centers near you.</t>
  </si>
  <si>
    <t>Discover which insurance covers inpatient addiction treatment! Navigate coverage options hassle-free.</t>
  </si>
  <si>
    <t>Find Out What Insurance Is Accepted for Inpatient Addiction Treatment</t>
  </si>
  <si>
    <t>97f3265790675af78dbcef6bfa1aacbc</t>
  </si>
  <si>
    <t>https://ojairecovery.com/insurance-for-executive-and-luxury-rehab-programs/</t>
  </si>
  <si>
    <t>Insurance for Executive &amp; Luxury Rehab Programs | Coverage Explained</t>
  </si>
  <si>
    <t>Learn how insurance works for executive and luxury rehab programs. Explore coverage options, eligibility requirements, and how to access premium addiction treatment with confidence.</t>
  </si>
  <si>
    <t>Navigating insurance for executive and luxury rehab programs made clear. Secure coverage stress-free.</t>
  </si>
  <si>
    <t>Insurance for Executive and Luxury Rehab Programs Explained</t>
  </si>
  <si>
    <t>8471a06e066a03566c0d9b46234ef43d</t>
  </si>
  <si>
    <t>https://ojairecovery.com/insurance-for-long-term-residential-treatment-programs/</t>
  </si>
  <si>
    <t>Insurance for Long Term Residential Treatment | Clear Coverage Guide</t>
  </si>
  <si>
    <t>Understand insurance options for long term residential treatment. Learn about coverage, prior authorization, and how to access extended care for addiction recovery.</t>
  </si>
  <si>
    <t>Unlock insurance for long term residential treatment programs - demystifying coverage for addiction and mental health.</t>
  </si>
  <si>
    <t>Insurance for Long Term Residential Treatment: A Clear Guide</t>
  </si>
  <si>
    <t>9dcd5453e57905a0bc8aa9eded6acaf9</t>
  </si>
  <si>
    <t>https://ojairecovery.com/insurance-verification-process-for-addiction-treatment/</t>
  </si>
  <si>
    <t>Avoid Surprises: Insurance Verification for Addiction Treatment</t>
  </si>
  <si>
    <t>Understand the insurance verification process for addiction treatment. Learn how to confirm coverage, avoid hidden costs, and ensure smooth access to rehab services.</t>
  </si>
  <si>
    <t>Navigate the insurance verification process for addiction treatment smoothly. No surprises, just clear steps for coverage!</t>
  </si>
  <si>
    <t>Avoid Surprises: Insurance Verification Process for Addiction Treatment</t>
  </si>
  <si>
    <t>a4f25189caa85f165eb7c1c2380b24dc</t>
  </si>
  <si>
    <t>https://ojairecovery.com/integrated-addiction-mental-health-care/</t>
  </si>
  <si>
    <t>Integrated Addiction &amp; Mental Health Treatment | Ojai Recovery - Ojai Recovery</t>
  </si>
  <si>
    <t>Ojai Recovery offers fully integrated treatment for addiction and co-occurring mental health disorders. Heal your whole self—mind, body, and spirit—in a compassionate, nature-rich setting.</t>
  </si>
  <si>
    <t>Integrated Addiction &amp; Mental Health Care</t>
  </si>
  <si>
    <t>What Is Integrated Treatment</t>
  </si>
  <si>
    <t>36688b7b744d6e6a8d16dbe8270795d1</t>
  </si>
  <si>
    <t>https://ojairecovery.com/is-mental-health-rehab-a-qualified-medical-expense/</t>
  </si>
  <si>
    <t>Is Mental Health Rehab a Qualified Medical Expense? | Know the Facts</t>
  </si>
  <si>
    <t>Find out if mental health rehab qualifies as a medical expense under HSA, FSA, or tax rules. Learn what’s covered, what’s not, and how to make the most of your benefits.</t>
  </si>
  <si>
    <t>Discover if mental health rehab qualifies as a medical expense for you. Unveil your coverage options now!</t>
  </si>
  <si>
    <t>The Truth About Mental Health Rehab as a Qualified Medical Expense</t>
  </si>
  <si>
    <t>ddf5c7e1505ec0f53e769b860ee600c9</t>
  </si>
  <si>
    <t>https://ojairecovery.com/kaiser-permanente-rehab-insurance-benefits/</t>
  </si>
  <si>
    <t>Kaiser Permanente Rehab Insurance Benefits | Comprehensive Coverage Guide</t>
  </si>
  <si>
    <t>Explore Kaiser Permanente's rehab insurance benefits, including inpatient, outpatient, and detox services. Learn about coverage details, copays, and how to access the care you deserve.</t>
  </si>
  <si>
    <t>Unlock Kaiser Permanente rehab insurance benefits for top-tier addiction and mental health care.</t>
  </si>
  <si>
    <t>Kaiser Permanente Rehab Insurance Benefits: Get the Care You Deserve</t>
  </si>
  <si>
    <t>4e79ca3616cfc1ae3d4d530198cbe016</t>
  </si>
  <si>
    <t>https://ojairecovery.com/leadership-clinical-team/</t>
  </si>
  <si>
    <t>Leadership Clinical Team - Ojai Recovery</t>
  </si>
  <si>
    <t>Meet the dedicated clinical and leadership team at Ojai Recovery. With decades of experience and a heart for healing, our staff delivers care with compassion, purpose, and integrity.</t>
  </si>
  <si>
    <t>Our Leadership &amp; Clinical Team</t>
  </si>
  <si>
    <t>Meet Our Leadership</t>
  </si>
  <si>
    <t>The Team Behind the Mission</t>
  </si>
  <si>
    <t>8bc5d3736f8351cf585c339d710beacb</t>
  </si>
  <si>
    <t>https://ojairecovery.com/luxury-and-evidence-based-alcohol-rehab-in-ventura-county-healing-in-comfort/</t>
  </si>
  <si>
    <t>Luxury and Evidence-Based Alcohol Rehab in Ventura County: Healing in Comfort</t>
  </si>
  <si>
    <t>A luxury alcohol rehab in Venture County at the luxurious facilities of Ojai Recovery may be exactly what you need for a full lasting recovery.</t>
  </si>
  <si>
    <t>7f9f1362d739f29833d441892ef3709b</t>
  </si>
  <si>
    <t>https://ojairecovery.com/magellan-health-insurance-rehab-benefits/</t>
  </si>
  <si>
    <t>Magellan Health Insurance Rehab Benefits | What You Need to Know</t>
  </si>
  <si>
    <t>Learn everything about Magellan Health Insurance rehab benefits. Discover what types of treatment are covered, how to verify your benefits, and how to simplify accessing quality substance abuse and mental health care.</t>
  </si>
  <si>
    <t>Unveil Magellan Health Insurance rehab benefits: Your guide to coverage for addiction and mental health treatment.</t>
  </si>
  <si>
    <t>Magellan Health Insurance Rehab Benefits: What You Need to Know</t>
  </si>
  <si>
    <t>3ba857a20ddfb94389b8c0f521313048</t>
  </si>
  <si>
    <t>https://ojairecovery.com/malibu-alcohol-treatment-luxury-and-evidence-based-care-combined/</t>
  </si>
  <si>
    <t>Malibu Alcohol Treatment &amp; Detox | Ojai Recovery in Ventura</t>
  </si>
  <si>
    <t>Start your recovery at Ojai Recovery with personalized alcohol treatment, detox, and dual diagnosis care in a peaceful, nature-based setting.</t>
  </si>
  <si>
    <t>Malibu Alcohol Treatment: Luxury and Evidence-Based Care Combined</t>
  </si>
  <si>
    <t>b0a903c0c017a68cebc3967bf520e4b5</t>
  </si>
  <si>
    <t>https://ojairecovery.com/malibu-drug-rehab-why-many-residents-choose-ojai-recovery/</t>
  </si>
  <si>
    <t>unsure</t>
  </si>
  <si>
    <t>Malibu Drug Rehab: Why Many Residents Choose Ojai Recovery</t>
  </si>
  <si>
    <t>Learn about the unique amenities of our Malibu drug rehab clinic, offering a range of luxurious experiences and treatments for multiple addictions.</t>
  </si>
  <si>
    <t>9ccee9090f772cc9988213b52db72ddc</t>
  </si>
  <si>
    <t>https://ojairecovery.com/marijuana-use-disorder-treatment/</t>
  </si>
  <si>
    <t>Marijuana Use Disorder Treatment Ojai, Ventura County, CA</t>
  </si>
  <si>
    <t>Marijuana dependence can cloud your mind and disconnect you from life. At Ojai Recovery, we offer compassionate, holistic care to help you regain clarity, motivation, and a renewed sense of purpose.</t>
  </si>
  <si>
    <t>Ojai Recovery offers compassionate treatment for marijuana dependence, combining trauma-informed care, mental health support, and holistic healing in a peaceful setting.</t>
  </si>
  <si>
    <t>Marijuana Use Disorder Treatment</t>
  </si>
  <si>
    <t>Understanding Marijuana Use Disorder</t>
  </si>
  <si>
    <t>d07a263c9cedfb374ffc45255ab2b3fe</t>
  </si>
  <si>
    <t>https://ojairecovery.com/medical-supervision-safety/</t>
  </si>
  <si>
    <t>Medical Supervision &amp; Detox Safety | Ojai Recovery California - Ojai Recovery</t>
  </si>
  <si>
    <t>Ojai Recovery provides 24/7 medical supervision and psychiatric support during detox in a trauma-informed, nature-rich setting. Safe, respectful care from day one. HTML</t>
  </si>
  <si>
    <t>Ojai Recovery provides 24/7 medical supervision and psychiatric support during detox in a trauma-informed, nature-rich setting. Safe, respectful care from day one.
HTML</t>
  </si>
  <si>
    <t>Medical Supervision &amp; Safety Ojai Recovery</t>
  </si>
  <si>
    <t>Why Medical Supervision Matters in Early Recovery</t>
  </si>
  <si>
    <t>f3a6bfefc95ed8ed28de3f853b311772</t>
  </si>
  <si>
    <t>https://ojairecovery.com/mental-health-support/</t>
  </si>
  <si>
    <t>Mental Health Support Ventura County : Ojai Recovery</t>
  </si>
  <si>
    <t>At Ojai Recovery, we treat addiction and mental health together, because they’re deeply connected. Our integrated approach helps you heal emotional wounds, gain clarity, and build a more connected, stable life.</t>
  </si>
  <si>
    <t>Ojai Recovery provides integrated mental health treatment for clients with depression, anxiety, trauma, and co-occurring disorders. Heal the whole you in a supportive, clinical environment.</t>
  </si>
  <si>
    <t>Mental Health Support Ojai Recovery</t>
  </si>
  <si>
    <t>Compassionate Mental Health Support for Lasting Healing</t>
  </si>
  <si>
    <t>What We Treat</t>
  </si>
  <si>
    <t>f836abe92d364f370350bb95fa59727f</t>
  </si>
  <si>
    <t>https://ojairecovery.com/mhn-insurance-for-mental-health-services/</t>
  </si>
  <si>
    <t>Get the Most from MHN Insurance for Mental Health Services | Maximize Your Coverage</t>
  </si>
  <si>
    <t>Learn how to get the most from MHN Insurance for mental health services. Discover covered treatments, verify your benefits, and access the right care with confidence and ease.</t>
  </si>
  <si>
    <t>Get the best MHN insurance for mental health services. Unravel in-network benefits and coverage for your well-being.</t>
  </si>
  <si>
    <t>Get the Most from MHN Insurance for Mental Health Services</t>
  </si>
  <si>
    <t>d2d322615572de5f66dcf3f9f32bf67a</t>
  </si>
  <si>
    <t>https://ojairecovery.com/multiplan-accepted-rehab-centers-in-california/</t>
  </si>
  <si>
    <t>Discover Multiplan‑Accepted Rehab Centers in California | Find Care Now</t>
  </si>
  <si>
    <t>Explore Multiplan‑accepted rehab centers in California. Easily find in‑network treatment options, verify your insurance, and start your recovery journey today.</t>
  </si>
  <si>
    <t>Find Multiplan accepted rehab centers in California! Get clarity on insurance coverage for addiction and mental health treatment.</t>
  </si>
  <si>
    <t>Discover Multiplan Accepted Rehab Centers in California Now</t>
  </si>
  <si>
    <t>fec8d161609e3ffd3e380299c84fedb7</t>
  </si>
  <si>
    <t>https://ojairecovery.com/ojai-alcohol-detox-healing-in-a-peaceful-setting/</t>
  </si>
  <si>
    <t>Ojai Alcohol Detox &amp; Addiction Treatment | Personalized Care for Lasting Recovery</t>
  </si>
  <si>
    <t>Begin your recovery at Ojai Recovery with personalized alcohol detox, 24/7 support, dual-diagnosis care, and holistic healing in Ventura County.</t>
  </si>
  <si>
    <t>Ojai Alcohol Detox: Healing in a Peaceful Setting</t>
  </si>
  <si>
    <t>c2704bf37898163dc6881e161fd64b26</t>
  </si>
  <si>
    <t>https://ojairecovery.com/opioid-addiction-treatment/</t>
  </si>
  <si>
    <t>Opioid Addiction Treatment Center Ojai, Ventura County, CA</t>
  </si>
  <si>
    <t>Opioid addiction numbs more than pain it disconnects you from life. At Ojai Recovery, we offer safe detox, mental health care, and lasting support to help you break the cycle and begin truly healing.</t>
  </si>
  <si>
    <t>Ojai Recovery offers medically supervised detox and long-term treatment for opioid addiction, including heroin, fentanyl, and painkiller misuse. Heal safely and sustainably.</t>
  </si>
  <si>
    <t>Opioid Addiction Treatment</t>
  </si>
  <si>
    <t>Understanding Opioid Use Disorder</t>
  </si>
  <si>
    <t>1861bda7d223b541a23295350c6d5ba6</t>
  </si>
  <si>
    <t>https://ojairecovery.com/out-of-network-rehab-insurance-benefits/</t>
  </si>
  <si>
    <t>Maximize Your Out of Network Rehab Insurance Benefits | Get Covered Today</t>
  </si>
  <si>
    <t>Learn how to maximize your out-of-network rehab insurance benefits. Discover tips for coverage approval, reimbursement processes, and accessing quality treatment beyond your network.</t>
  </si>
  <si>
    <t>Maximize out of network rehab insurance benefits today! Unveil clear steps and covered services for seamless coverage.</t>
  </si>
  <si>
    <t>Maximize Your Out of Network Rehab Insurance Benefits Today</t>
  </si>
  <si>
    <t>89cbfe5695e1050688e66ce19def0dd7</t>
  </si>
  <si>
    <t>https://ojairecovery.com/outpatient-alcohol-detox-near-me/</t>
  </si>
  <si>
    <t>Outpatient Alcohol Detox Near Me | A Smart, Local Recovery Option</t>
  </si>
  <si>
    <t>Find outpatient alcohol detox programs near you. Discover how local, flexible treatment helps you begin recovery safely while balancing daily life.</t>
  </si>
  <si>
    <t>Discover top outpatient alcohol detox near you! Embrace safe, flexible, and personalized treatment options at Ojai Recovery.</t>
  </si>
  <si>
    <t>Outpatient Alcohol Detox Near Me: A Smart Choice for You</t>
  </si>
  <si>
    <t>4d91ef2f9d55ff363331b52d32df89a5</t>
  </si>
  <si>
    <t>https://ojairecovery.com/outpatient-alcohol-detox/</t>
  </si>
  <si>
    <t>Why Outpatient Alcohol Detox at Ojai Recovery Works Wonders</t>
  </si>
  <si>
    <t>Explore how outpatient alcohol detox at Ojai Recovery offers safe, flexible, and effective treatment. Start your healing journey with expert care and support.</t>
  </si>
  <si>
    <t>Outpatient alcohol detox at Ojai Recovery: Your path to freedom and recovery starts here!</t>
  </si>
  <si>
    <t>d9d6cef01bf8d69b1c2c700573bad355</t>
  </si>
  <si>
    <t>https://ojairecovery.com/outpatient-alcohol-rehab-near-me/</t>
  </si>
  <si>
    <t>Top Outpatient Alcohol Rehab Near Me | Flexible Recovery Options</t>
  </si>
  <si>
    <t>Find top outpatient alcohol rehab programs near you offering personalized, flexible treatment. Start your recovery journey with expert support tailored to your needs.</t>
  </si>
  <si>
    <t>Find top outpatient alcohol rehab near me for industry-leading care. Choose Ojai Recovery for personalized treatment plans!</t>
  </si>
  <si>
    <t>Discover Top Outpatient Alcohol Rehab Near Me Options</t>
  </si>
  <si>
    <t>1b2c00bebb6d5377a5357b4a02b7e581</t>
  </si>
  <si>
    <t>https://ojairecovery.com/outpatient-alcohol-rehab-programs/</t>
  </si>
  <si>
    <t>Why Choose Outpatient Alcohol Rehab Programs | Flexible &amp; Effective Care</t>
  </si>
  <si>
    <t>Learn why outpatient alcohol rehab programs offer a flexible, effective path to recovery. Balance treatment with daily life while getting the support you need.</t>
  </si>
  <si>
    <t>Discover why outpatient alcohol rehab programs at Ojai Recovery are your top choice for effective treatment &amp; lasting recovery!</t>
  </si>
  <si>
    <t>Why Outpatient Alcohol Rehab Programs Are Your Best Choice</t>
  </si>
  <si>
    <t>814918f6e8a01155c432c38a994605a5</t>
  </si>
  <si>
    <t>https://ojairecovery.com/outpatient-alcohol-rehab/</t>
  </si>
  <si>
    <t>Outpatient Alcohol Rehab | Flexible Treatment for Lasting Recovery</t>
  </si>
  <si>
    <t>Discover outpatient alcohol rehab programs offering flexible, personalized care. Balance treatment with daily life while working toward long-term sobriety.</t>
  </si>
  <si>
    <t>Discover the benefits of outpatient alcohol rehab - find flexibility, tailored care, and support on your journey to recovery.</t>
  </si>
  <si>
    <t>Outpatient Alcohol Rehab: A Flexible Solution for You</t>
  </si>
  <si>
    <t>4e020079f811bee91c3d63a44042a80d</t>
  </si>
  <si>
    <t>https://ojairecovery.com/outpatient-detox-alcohol/</t>
  </si>
  <si>
    <t>Why Choose Outpatient Alcohol Detox? | Flexible Recovery That Lasts</t>
  </si>
  <si>
    <t>Discover the benefits of outpatient alcohol detox. Learn how this flexible, effective approach supports lasting recovery while allowing you to maintain daily responsibilities.</t>
  </si>
  <si>
    <t>Discover the benefits of outpatient detox alcohol at Ojai Recovery for safe, effective, and personalized care!</t>
  </si>
  <si>
    <t>Why Choose Outpatient Detox Alcohol for Lasting Recovery</t>
  </si>
  <si>
    <t>7798a9c87a3cd5675b2e32e85d33396</t>
  </si>
  <si>
    <t>https://ojairecovery.com/outpatient-detox-center-near-me/</t>
  </si>
  <si>
    <t xml:space="preserve">New Modality page - IOP </t>
  </si>
  <si>
    <t>Choosing the Right Outpatient Detox Center Near You | What to Consider</t>
  </si>
  <si>
    <t>Find out why selecting the right outpatient detox center matters for your recovery. Learn key factors to consider to ensure safe, effective, and personalized care near you.</t>
  </si>
  <si>
    <t>Discover the best outpatient detox center near you at Ojai Recovery for industry-leading addiction treatment.</t>
  </si>
  <si>
    <t>Choosing the Right Outpatient Detox Center Near You Matters</t>
  </si>
  <si>
    <t>ac49cdc38f05542b8092fd826aa07e89</t>
  </si>
  <si>
    <t>https://ojairecovery.com/outpatient-detox-centers-near-me/</t>
  </si>
  <si>
    <t>Why Outpatient Detox Centers Near Me Are Worth Considering</t>
  </si>
  <si>
    <t>Explore the benefits of outpatient detox centers near you. Learn how flexible, medically supervised detox can support your recovery while fitting your lifestyle.</t>
  </si>
  <si>
    <t>Discover the value of outpatient detox centers near you! Explore medication-assisted treatment and specialized care for addiction recovery.</t>
  </si>
  <si>
    <t>c8c30cdeb0eb6099a3e613b6c4a4a669</t>
  </si>
  <si>
    <t>https://ojairecovery.com/outpatient-detox-for-alcohol/</t>
  </si>
  <si>
    <t>Why Choose Outpatient Alcohol Detox at Ojai Recovery | Safe &amp; Effective</t>
  </si>
  <si>
    <t>Learn why outpatient alcohol detox at Ojai Recovery is a smart choice. Enjoy medically supervised, flexible treatment designed to support your lasting recovery.</t>
  </si>
  <si>
    <t>Discover the benefits of outpatient alcohol detox at Ojai Recovery. Transform your journey to sobriety with professional care.</t>
  </si>
  <si>
    <t>Why Choose Outpatient Detox for Alcohol at Ojai Recovery?</t>
  </si>
  <si>
    <t>61c22799bab7d439ef125c7650855de8</t>
  </si>
  <si>
    <t>https://ojairecovery.com/outpatient-detox-near-me/</t>
  </si>
  <si>
    <t>Transform Your Life with Outpatient Detox Near Me | Flexible Recovery</t>
  </si>
  <si>
    <t>Discover outpatient detox options near you that offer safe, supportive care. Begin your journey to lasting recovery while maintaining your daily routine.</t>
  </si>
  <si>
    <t>Discover life-changing outpatient detox near you! Explore tailored programs for safe and effective addiction treatment.</t>
  </si>
  <si>
    <t>Transform Your Life with Outpatient Detox Near Me Options</t>
  </si>
  <si>
    <t>83f35c628907122fd17ccfdc38c91a64</t>
  </si>
  <si>
    <t>https://ojairecovery.com/outpatient-detox-programs-near-me/</t>
  </si>
  <si>
    <t>Outpatient Detox Programs Near Me | Start Your Recovery Today</t>
  </si>
  <si>
    <t>Find outpatient detox programs near you that offer safe, supportive care. Begin your recovery journey with flexible treatment that fits your life and needs.</t>
  </si>
  <si>
    <t>Discover top-notch outpatient detox programs near you at Ojai Recovery. Expert care tailored for you.</t>
  </si>
  <si>
    <t>Outpatient Detox Programs Near Me: Your Path to Recovery</t>
  </si>
  <si>
    <t>8fd930d29341ff40d2b445afadae12b1</t>
  </si>
  <si>
    <t>https://ojairecovery.com/outpatient-detox-programs/</t>
  </si>
  <si>
    <t>Benefits of Outpatient Detox Programs | Safe &amp; Flexible Recovery</t>
  </si>
  <si>
    <t>Explore the advantages of outpatient detox programs. Receive medical support while maintaining your daily routine—an effective, accessible path to lasting recovery.</t>
  </si>
  <si>
    <t>Discover the benefits of outpatient detox programs now - choose flexible, effective care for drug &amp; alcohol addiction treatment.</t>
  </si>
  <si>
    <t>Discover the Benefits of Outpatient Detox Programs Now</t>
  </si>
  <si>
    <t>a4199d37d9c78dfbf288b80f03ccb6e4</t>
  </si>
  <si>
    <t>https://ojairecovery.com/outpatient-drug-rehab-centers/</t>
  </si>
  <si>
    <t>Benefits of Outpatient Drug Rehab Centers | Flexible Recovery Solutions</t>
  </si>
  <si>
    <t>Explore how outpatient drug rehab centers offer flexible, effective care for addiction recovery. Maintain daily responsibilities while receiving professional support and treatment.</t>
  </si>
  <si>
    <t>Explore the advantages of outpatient drug rehab centers to tailor the perfect path for your recovery journey.</t>
  </si>
  <si>
    <t>Discover the Benefits of Outpatient Drug Rehab Centers</t>
  </si>
  <si>
    <t>53fd77641c0d312ef2c67e452c172b5e</t>
  </si>
  <si>
    <t>https://ojairecovery.com/outpatient-drug-rehab-near-me/</t>
  </si>
  <si>
    <t>Effective Outpatient Drug Rehab Near Me | Find Your Recovery Path</t>
  </si>
  <si>
    <t>Explore nearby outpatient drug rehab options that offer flexible, evidence-based care. Start your journey to recovery with support that fits your lifestyle and goals.</t>
  </si>
  <si>
    <t>Seek top-tier outpatient drug rehab near you! Explore tailored treatment and supportive programs at Ojai Recovery.</t>
  </si>
  <si>
    <t>Discover Effective Outpatient Drug Rehab Near Me Options</t>
  </si>
  <si>
    <t>f3ec817c572880c72f2742e6954501e1</t>
  </si>
  <si>
    <t>https://ojairecovery.com/outpatient-drug-rehab-services-near-me/</t>
  </si>
  <si>
    <t>Outpatient Drug Rehab Services Near Me | Your Path to Healing</t>
  </si>
  <si>
    <t>Find local outpatient drug rehab services that support your recovery journey. Discover flexible, effective treatment options to heal while maintaining daily life.</t>
  </si>
  <si>
    <t>Discover outpatient drug rehab services near you at Ojai Recovery - your path to healing starts here.</t>
  </si>
  <si>
    <t>Outpatient Drug Rehab Services Near Me: A Path to Healing</t>
  </si>
  <si>
    <t>572a1f6126aee0b46752f239dc359209</t>
  </si>
  <si>
    <t>https://ojairecovery.com/outpatient-drug-rehab/</t>
  </si>
  <si>
    <t>Choose Outpatient Drug Rehab | Flexible &amp; Effective Healing</t>
  </si>
  <si>
    <t>Outpatient drug rehab offers structured support while you maintain daily life. Discover how this flexible treatment option promotes lasting recovery and personal growth.</t>
  </si>
  <si>
    <t>Discover effective healing with outpatient drug rehab. Choose Ojai Recovery for industry-leading addiction treatment.</t>
  </si>
  <si>
    <t>Choose Outpatient Drug Rehab for Effective Healing</t>
  </si>
  <si>
    <t>d053769ccf42e1c06191ee767a58fd22</t>
  </si>
  <si>
    <t>https://ojairecovery.com/outpatient-rehab-centers/</t>
  </si>
  <si>
    <t>Outpatient Rehab Centers | Effective &amp; Flexible Addiction Treatment</t>
  </si>
  <si>
    <t>Discover how outpatient rehab centers offer effective addiction treatment with the flexibility to maintain daily life. Learn about programs, benefits, and how to get started today.</t>
  </si>
  <si>
    <t>Discover effective solutions for addiction with outpatient rehab centers. Flexible, cost-effective treatment options await.</t>
  </si>
  <si>
    <t>Outpatient Rehab Centers: Effective Solutions for Addiction</t>
  </si>
  <si>
    <t>360a3a1188b61bc2260f3e7f3ebc2ac3</t>
  </si>
  <si>
    <t>https://ojairecovery.com/outpatient-rehab-near-me/</t>
  </si>
  <si>
    <t>Outpatient Rehab Near Me | Get the Support You Deserve</t>
  </si>
  <si>
    <t>Find trusted outpatient rehab programs near you. Access flexible, compassionate care tailored to your recovery journey—without putting your life on hold.</t>
  </si>
  <si>
    <t>Discover top-rated outpatient rehab near you at Ojai Recovery. Expert care, flexible programs, and effective treatment await!</t>
  </si>
  <si>
    <t>Outpatient Rehab Near Me: The Support You Deserve</t>
  </si>
  <si>
    <t>75d7b141b41649fee3a48cad098b613e</t>
  </si>
  <si>
    <t>https://ojairecovery.com/outpatient-rehab/</t>
  </si>
  <si>
    <t>Transform Your Life with Ojai Recovery’s Outpatient Rehab Program</t>
  </si>
  <si>
    <t>Discover healing and balance with Ojai Recovery’s outpatient rehab. Our flexible, personalized care empowers you to recover while staying connected to your daily life.</t>
  </si>
  <si>
    <t>Transform your life with Ojai Recovery's outpatient rehab - expert care for your journey to recovery.</t>
  </si>
  <si>
    <t>Transform Your Life with Ojai Recoverys Outpatient Rehab</t>
  </si>
  <si>
    <t>54d856238464f42ccaba1ab8d7c8b16e</t>
  </si>
  <si>
    <t>https://ojairecovery.com/outpatient-rehabs/</t>
  </si>
  <si>
    <t>Benefits of Outpatient Rehabs | Supportive, Lasting Recovery</t>
  </si>
  <si>
    <t>Explore how outpatient rehabs offer flexible, effective treatment for long-term recovery. Stay connected to daily life while receiving the care and support you need.</t>
  </si>
  <si>
    <t>Choose lasting change with outpatient rehabs – flexibility, cost-effectiveness, and personalized services for your journey.</t>
  </si>
  <si>
    <t>Discover the Benefits of Outpatient Rehabs for Lasting Change</t>
  </si>
  <si>
    <t>de619f3d38b6c20c34d460c9831d63fa</t>
  </si>
  <si>
    <t>https://ojairecovery.com/outpatient-vs-inpatient/</t>
  </si>
  <si>
    <t>Outpatient vs Inpatient Treatment | Key Differences Explained</t>
  </si>
  <si>
    <t>Learn the main differences between outpatient and inpatient treatment. Compare structure, intensity, costs, and benefits to choose the best recovery path for your needs.</t>
  </si>
  <si>
    <t>Discover the stark contrasts between outpatient vs inpatient care. Make informed choices for you or your loved one's treatment journey.</t>
  </si>
  <si>
    <t>The Key Differences in Outpatient vs Inpatient Treatment</t>
  </si>
  <si>
    <t>f67656690bac42397ee1f59eb7d74203</t>
  </si>
  <si>
    <t>https://ojairecovery.com/outside-12-step-meetings/</t>
  </si>
  <si>
    <t>??</t>
  </si>
  <si>
    <t>Outside 12-Step Meetings - Ojai Recovery</t>
  </si>
  <si>
    <t>Ojai Recovery integrates outside 12-step meetings like AA and NA into treatment to support community connection, accountability, and long-term recovery.</t>
  </si>
  <si>
    <t>Outside 12-Step Meetings</t>
  </si>
  <si>
    <t>Why We Integrate Outside Meetings Into Treatment</t>
  </si>
  <si>
    <t>a4502be44e00bc5ddb3cdf21511d7ac6</t>
  </si>
  <si>
    <t>https://ojairecovery.com/pinnacle-insurance-mental-health-treatment-options/</t>
  </si>
  <si>
    <t>Essential Pinnacle Insurance Mental Health Treatment Options | Explained</t>
  </si>
  <si>
    <t>Explore Pinnacle Insurance mental health treatment options in this essential guide. Learn which therapies are covered, how to check your benefits, and steps to access the care you need efficiently.</t>
  </si>
  <si>
    <t>Discover Pinnacle Insurance's mental health treatment options for residential care and detox services. Navigate your coverage with ease.</t>
  </si>
  <si>
    <t>Essential Pinnacle Insurance Mental Health Treatment Options Explained</t>
  </si>
  <si>
    <t>1028e5c6ba80e5defb95f656205b258d</t>
  </si>
  <si>
    <t>https://ojairecovery.com/polysubstance-abuse-treatment/</t>
  </si>
  <si>
    <t>Polysubstance Abuse Treatment Ojai, Ventura County, CA</t>
  </si>
  <si>
    <t>Polysubstance addiction is complex, but you don’t have to face it alone. At Ojai Recovery, we offer expert, compassionate care to help you find stability, clarity, and a path toward lasting healing.</t>
  </si>
  <si>
    <t>Ojai Recovery offers expert treatment for polysubstance addiction, including detox and residential care for clients using multiple drugs. Heal safely in a trauma-informed, supportive environment.</t>
  </si>
  <si>
    <t>Polysubstance Abuse Treatment</t>
  </si>
  <si>
    <t>What Is Polysubstance Abuse</t>
  </si>
  <si>
    <t>5a26af2bfd40dbfe0b7f37b009974914</t>
  </si>
  <si>
    <t>https://ojairecovery.com/polysubstance-detox-what-you-need-to-know-when-more-than-one-drug-is-involved/</t>
  </si>
  <si>
    <t>Polysubstance Detox: What We Need for Successful Healing - Ojai Recovery</t>
  </si>
  <si>
    <t>Discover effective polysubstance detox strategies for successful healing at Ojai Recovery. Prioritize your recovery journey!</t>
  </si>
  <si>
    <t>Polysubstance Detox: What We Need for Successful Healing</t>
  </si>
  <si>
    <t>90f59eb10252f4a635cd0058e9c2a466</t>
  </si>
  <si>
    <t>https://ojairecovery.com/premier-drug-alcohol-rehab-in-ojai-ca/</t>
  </si>
  <si>
    <t>Premier Drug &amp; Alcohol Rehab in Ojai, CA - Ojai Recovery</t>
  </si>
  <si>
    <t>Ojai Recovery is a leading drug and alcohol rehab in Ojai, CA, offering evidence-based, holistic recovery programs in one of California’s most beautiful and tranquil settings. Call 805-273-8798.</t>
  </si>
  <si>
    <t>Premier Drug &amp; Alcohol Rehab in Ojai, CA</t>
  </si>
  <si>
    <t>Looking for a peaceful place to heal? Need expert care in a serene environment</t>
  </si>
  <si>
    <t>c3d75bdbfc4832245ee607f5bc8bc1b5</t>
  </si>
  <si>
    <t>https://ojairecovery.com/preparing-for-detox-what-to-pack-what-to-expect-and-what-comes-after/</t>
  </si>
  <si>
    <t>Our Essential Guide: Preparing for Detox and What Follows - Ojai Recovery</t>
  </si>
  <si>
    <t>Prepare for detox like a pro! Discover what to pack, expect during detox, and how to thrive in the aftercare journey.</t>
  </si>
  <si>
    <t>The Detoxification Process</t>
  </si>
  <si>
    <t>Preparing for Detox</t>
  </si>
  <si>
    <t>29d707ae3623127d2e7c60ae3c81d620</t>
  </si>
  <si>
    <t>https://ojairecovery.com/prescription-drug-addiction-treatment/</t>
  </si>
  <si>
    <t>Prescription Drug Addiction Treatment Ojai, Ventura County</t>
  </si>
  <si>
    <t>Prescription drug addiction can happen quietly and unexpectedly. At Ojai Recovery, we offer compassionate, judgment-free care to help you safely detox, heal, and rebuild a life beyond dependence.</t>
  </si>
  <si>
    <t>Break free from dependency on prescription painkillers, benzos, and stimulants with compassionate detox and trauma-informed care at Ojai Recovery.</t>
  </si>
  <si>
    <t>Prescription Drug Addiction Treatment</t>
  </si>
  <si>
    <t>Understanding Prescription Drug Addiction</t>
  </si>
  <si>
    <t>7c2965988a236495bd0c9f6f74da9c91</t>
  </si>
  <si>
    <t>https://ojairecovery.com/prime-health-services-substance-abuse-coverage/</t>
  </si>
  <si>
    <t>Prime Health Services Substance Abuse Coverage | Your Complete Guide</t>
  </si>
  <si>
    <t>Discover Prime Health Services’ substance abuse coverage—see what's included, how to check your benefits, and steps to access quality treatment with confidence.</t>
  </si>
  <si>
    <t>Discover Prime Health Services' substance abuse coverage. Get clarity on in-network benefits &amp; coverage details now!</t>
  </si>
  <si>
    <t>Your Guide to Prime Health Services Substance Abuse Coverage</t>
  </si>
  <si>
    <t>bb797e5c77d9e9212ebaeb3ca945cf53</t>
  </si>
  <si>
    <t>https://ojairecovery.com/programs/</t>
  </si>
  <si>
    <t>Residential Addiction &amp; Mental Health Treatment At Ojai Recovery - Ojai Recovery</t>
  </si>
  <si>
    <t>Discover the full range of treatment programs at Ojai Recovery, including detox, residential care, mental health support, and holistic therapies in a nature-based setting.</t>
  </si>
  <si>
    <t>Ojai Recovery ventura County Programs</t>
  </si>
  <si>
    <t>Comprehensive Programs for Lasting Recovery</t>
  </si>
  <si>
    <t>Programs Built for Whole-Person Healing</t>
  </si>
  <si>
    <t>9c8314fed31dd6a36dc28afddac50a5b</t>
  </si>
  <si>
    <t>https://ojairecovery.com/psychiatric-residential-treatment-facility-for-adults/</t>
  </si>
  <si>
    <t>How a Psychiatric Residential Treatment Facility for Adults Can Help</t>
  </si>
  <si>
    <t>Explore how adult psychiatric residential treatment facilities support recovery. Learn about structured care, 24/7 support, and personalized treatment for lasting mental health improvement.</t>
  </si>
  <si>
    <t>Transform your life at a psychiatric residential treatment facility for adults. Discover tailored care and specialized programs!</t>
  </si>
  <si>
    <t>How a Psychiatric Residential Treatment Facility for Adults Can Help You</t>
  </si>
  <si>
    <t>dcdeeba556884477e91abf5d901e8168</t>
  </si>
  <si>
    <t>https://ojairecovery.com/recreational-experiential-outings/</t>
  </si>
  <si>
    <t>Recreational &amp; Experiential Outings - Ojai Recovery</t>
  </si>
  <si>
    <t>Ojai Recovery offers nature-based, creative, and community outings that support real-life healing, emotional growth, and the return of joy in recovery.</t>
  </si>
  <si>
    <t>Recreational &amp; Experiential Outings</t>
  </si>
  <si>
    <t>Why We Include Outings in Recovery</t>
  </si>
  <si>
    <t>3a3b50aa1e1d08575cce0eadb5467c6a</t>
  </si>
  <si>
    <t>https://ojairecovery.com/recreational-holistic-modalities/</t>
  </si>
  <si>
    <t>Recreational &amp; Holistic Modalities Ojai, Ventura County</t>
  </si>
  <si>
    <t>At Ojai Recovery, healing includes movement, creativity, and nature. Through holistic therapies, clients reconnect with themselves and the world finding joy, calm, and freedom in recovery.</t>
  </si>
  <si>
    <t>Recreational &amp; Holistic Modalities</t>
  </si>
  <si>
    <t>Why Experiential Therapy Matters in Recovery</t>
  </si>
  <si>
    <t>dc59524f41bec88125a2aa4f97d2649f</t>
  </si>
  <si>
    <t>https://ojairecovery.com/rehab-benefits-through-employer-insurance-plans/</t>
  </si>
  <si>
    <t>Unlock Rehab Benefits with Employer Insurance | What You Need to Know</t>
  </si>
  <si>
    <t>Learn how to access rehab benefits through your employer-sponsored insurance plan. Discover what’s covered, how to verify eligibility, and start treatment with confidence.</t>
  </si>
  <si>
    <t>Unlock the rehab benefits you deserve with employer insurance plans. Maximize coverage for addiction &amp; mental health treatment!</t>
  </si>
  <si>
    <t>Unlocking Rehab Benefits Through Employer Insurance Plans</t>
  </si>
  <si>
    <t>b5ffe54d3fc307a28cea62dee0492477</t>
  </si>
  <si>
    <t>https://ojairecovery.com/rehab-centers-that-accept-multiple-insurance-types/</t>
  </si>
  <si>
    <t>Rehab Centers That Accept Multiple Insurance Types | Explore Options Now</t>
  </si>
  <si>
    <t>Find rehab centers that accept multiple insurance plans. Compare coverage, verify your benefits, and access the right addiction treatment without delay.</t>
  </si>
  <si>
    <t>Discover rehab centers that accept multiple insurance types! Get clarity on coverage and start your journey to wellness.</t>
  </si>
  <si>
    <t>Explore Rehab Centers That Accept Multiple Insurance Types Now</t>
  </si>
  <si>
    <t>91293a3e27755a8d51c744003cf140</t>
  </si>
  <si>
    <t>https://ojairecovery.com/rehab-centers-that-accept-private-insurance/</t>
  </si>
  <si>
    <t>Find Rehab Centers That Accept Private Insurance | Easy Access Guide</t>
  </si>
  <si>
    <t>Quickly discover rehab centers that accept private insurance. Learn how to verify coverage, find in-network providers, and start your recovery journey with confidence.</t>
  </si>
  <si>
    <t>Find quality rehab centers accepting private insurance hassle-free. Unlock the path to recovery with ease!</t>
  </si>
  <si>
    <t>Discover Rehab Centers That Accept Private Insurance Easily</t>
  </si>
  <si>
    <t>143acc1a9503267fbec193d76558f0af</t>
  </si>
  <si>
    <t>https://ojairecovery.com/rehab-for-drugs-near-me/</t>
  </si>
  <si>
    <t>Top Drug Rehab Near You | Ojai Recovery’s Expert Care</t>
  </si>
  <si>
    <t>Find top-rated drug rehab near you at Ojai Recovery. Experience personalized, evidence-based treatment in a supportive setting designed for lasting recovery.</t>
  </si>
  <si>
    <t>Find top rehab for drugs near you at Ojai Recovery! Discover personalized treatment plans for lasting recovery.</t>
  </si>
  <si>
    <t>Discover Top Rehab for Drugs Near Me at Ojai Recovery</t>
  </si>
  <si>
    <t>25362716a89251749d5d732f8cbb8d27</t>
  </si>
  <si>
    <t>https://ojairecovery.com/rehab-programs-covered-by-hmo-insurance/</t>
  </si>
  <si>
    <t>Maximize Your Benefits with HMO-Covered Rehab Programs | Start Recovery Today</t>
  </si>
  <si>
    <t>Discover how to get the most from HMO insurance for rehab programs. Learn what's covered, how to check your benefits, and how to access affordable, high-quality addiction treatment.</t>
  </si>
  <si>
    <t>Discover how HMO insurance can maximize your rehab benefits. Get the info you need for quality care!</t>
  </si>
  <si>
    <t>Maximize Your Benefits with Rehab Programs Covered by HMO Insurance</t>
  </si>
  <si>
    <t>29812faeba8586859523080f9ecdbdc8</t>
  </si>
  <si>
    <t>https://ojairecovery.com/rehab-without-upfront-payment-using-insurance/</t>
  </si>
  <si>
    <t>Unlock Rehab Without Upfront Payment | Use Your Insurance Benefits</t>
  </si>
  <si>
    <t>Start addiction treatment without paying upfront. Learn how to use your insurance to cover rehab costs, verify your benefits, and access care immediately.</t>
  </si>
  <si>
    <t>Experience rehab without upfront payment using insurance! Clear benefits and next steps for addiction and mental health treatment coverage.</t>
  </si>
  <si>
    <t>Unlock Rehab Without Upfront Payment Using Insurance Options</t>
  </si>
  <si>
    <t>26d7b2e05935aad09516fa397d1c6a3f</t>
  </si>
  <si>
    <t>https://ojairecovery.com/residential-addiction-treatment-in-ojai-long-term-healing-solutions/</t>
  </si>
  <si>
    <t>Residential Addiction Treatment in Ojai | Long-Term Healing | Ojai Recovery</t>
  </si>
  <si>
    <t>Discover premier residential addiction treatment in Ojai. Experience long-term healing solutions combining clinical excellence with nature-immersed luxury for discerning clients.</t>
  </si>
  <si>
    <t>Residential Addiction Treatment in Ojai: Long-Term Healing Solutions</t>
  </si>
  <si>
    <t>60d35f82020497de6e68deae0eceef9b</t>
  </si>
  <si>
    <t>https://ojairecovery.com/residential-treatment-near-malibu-structured-support-near-the-coast/</t>
  </si>
  <si>
    <t>Residential Treatment near Malibu | Ojai Recovery for Lasting Sobriety</t>
  </si>
  <si>
    <t>Begin your recovery at Ojai Recovery near Malibu with structured, evidence-based treatment, holistic care, and personalized plans for lasting change.</t>
  </si>
  <si>
    <t>Residential Treatment near Malibu: Structured Support near the Coast</t>
  </si>
  <si>
    <t>311ad51691bfe4e46024fb7f82079864</t>
  </si>
  <si>
    <t>top level residential page</t>
  </si>
  <si>
    <t>Residential Addiction Treatment in Ojai, California | Ojai Recovery</t>
  </si>
  <si>
    <t>Ojai Recovery provides holistic residential addiction treatment in Ojai, CA, helping individuals rebuild their lives with expert care. Call 805-273-8798.</t>
  </si>
  <si>
    <t>Ojai Recovery offers immersive residential treatment for addiction and co-occurring mental health issues. Experience full-time, nature-based care with real community support.</t>
  </si>
  <si>
    <t>Residential Treatment Ojai Recovery</t>
  </si>
  <si>
    <t>A Supportive Environment for Lasting Recovery</t>
  </si>
  <si>
    <t>Ojai’s Residential Recovery Program</t>
  </si>
  <si>
    <t>2f948e978c2b841d38d3b99ac1e3e49f</t>
  </si>
  <si>
    <t>https://ojairecovery.com/social-model-of-recovery/</t>
  </si>
  <si>
    <t>Social Model of Recovery - Ojai Recovery</t>
  </si>
  <si>
    <t>Ojai Recovery uses a campus-based social model to foster peer support, connection, and lasting transformation. Heal through community in a nature-rich setting.</t>
  </si>
  <si>
    <t>Social Model of Recovery</t>
  </si>
  <si>
    <t>Why Community Matters in Recovery</t>
  </si>
  <si>
    <t>a928ad55daf21d85b71025671c6a411f</t>
  </si>
  <si>
    <t>https://ojairecovery.com/stimulant-addiction-treatment/</t>
  </si>
  <si>
    <t>Stimulant Addiction Treatment Center Ojai, Ventura County, CA</t>
  </si>
  <si>
    <t>Stimulant addiction drains your body and spirit. At Ojai Recovery, we offer trauma-informed care and holistic healing to help you stabilize, reconnect, and reclaim a life beyond the crash.</t>
  </si>
  <si>
    <t>Ojai Recovery offers trauma-informed treatment for cocaine, meth, and prescription stimulant addiction. Heal emotionally and neurologically in a peaceful, supportive setting.</t>
  </si>
  <si>
    <t>Stimulant Addiction Treatment</t>
  </si>
  <si>
    <t>The Hidden Pain Behind Stimulant Use</t>
  </si>
  <si>
    <t>fb7444ffd519127a415fb2744e933b76</t>
  </si>
  <si>
    <t>https://ojairecovery.com/tag/addiction-treatment-centers-near-me/</t>
  </si>
  <si>
    <t>Addiction Treatment Centers Near Me - Ojai Recovery</t>
  </si>
  <si>
    <t>Tag: Addiction Treatment Centers Near Me</t>
  </si>
  <si>
    <t>adc99955cc5747f79dbcb005dd2ec5a4</t>
  </si>
  <si>
    <t>https://ojairecovery.com/tag/aetna-cover-addiction-treatment/</t>
  </si>
  <si>
    <t>Aetna Cover Addiction Treatment - Ojai Recovery</t>
  </si>
  <si>
    <t>Tag: Aetna Cover Addiction Treatment</t>
  </si>
  <si>
    <t>dd4b36deb502dfc7056c078ca0001af0</t>
  </si>
  <si>
    <t>https://ojairecovery.com/tag/alcohol-rehab-in-ventura-county/</t>
  </si>
  <si>
    <t>Alcohol Rehab in Ventura County - Ojai Recovery</t>
  </si>
  <si>
    <t>Tag: Alcohol Rehab in Ventura County</t>
  </si>
  <si>
    <t>6102bbae06efdadf75b58ffe9f36872e</t>
  </si>
  <si>
    <t>https://ojairecovery.com/tag/detox-centers-in-ojai/</t>
  </si>
  <si>
    <t>Detox Centers in Ojai - Ojai Recovery</t>
  </si>
  <si>
    <t>Tag: Detox Centers in Ojai</t>
  </si>
  <si>
    <t>d2d0b699dec43a240a475bea72ba8627</t>
  </si>
  <si>
    <t>https://ojairecovery.com/tag/drug-detox-in-ojai/</t>
  </si>
  <si>
    <t>Drug Detox in Ojai - Ojai Recovery</t>
  </si>
  <si>
    <t>Tag: Drug Detox in Ojai</t>
  </si>
  <si>
    <t>8a55b959e31aee8ae71baf4a92b4189a</t>
  </si>
  <si>
    <t>https://ojairecovery.com/tag/drug-rehab-in-ventura-county/</t>
  </si>
  <si>
    <t>Drug Rehab in Ventura County - Ojai Recovery</t>
  </si>
  <si>
    <t>Tag: Drug Rehab in Ventura County</t>
  </si>
  <si>
    <t>19b41b9999a2851204bf88027e7281df</t>
  </si>
  <si>
    <t>https://ojairecovery.com/tag/malibu-alcohol-treatment/</t>
  </si>
  <si>
    <t>Malibu Alcohol Treatment - Ojai Recovery</t>
  </si>
  <si>
    <t>Tag: Malibu Alcohol Treatment</t>
  </si>
  <si>
    <t>b42d6c9dc7a7d02e26d387a7966f83e9</t>
  </si>
  <si>
    <t>https://ojairecovery.com/tag/ojai-alcohol-detox/</t>
  </si>
  <si>
    <t>Ojai Alcohol Detox - Ojai Recovery</t>
  </si>
  <si>
    <t>Tag: Ojai Alcohol Detox</t>
  </si>
  <si>
    <t>f6d8aa8e0b4b4fcb7cab1fd7285743ee</t>
  </si>
  <si>
    <t>https://ojairecovery.com/tag/residential-addiction-treatment-in-ojai/</t>
  </si>
  <si>
    <t>Residential Addiction Treatment in Ojai - Ojai Recovery</t>
  </si>
  <si>
    <t>Tag: Residential Addiction Treatment in Ojai</t>
  </si>
  <si>
    <t>2b6b3060f953916611ae3d1cc2405c1d</t>
  </si>
  <si>
    <t>https://ojairecovery.com/tag/residential-treatment-near-malibu/</t>
  </si>
  <si>
    <t>Residential Treatment near Malibu - Ojai Recovery</t>
  </si>
  <si>
    <t>Tag: Residential Treatment near Malibu</t>
  </si>
  <si>
    <t>f36efa74cbd989baf4c80061e36e0ee0</t>
  </si>
  <si>
    <t>https://ojairecovery.com/terms-of-use/</t>
  </si>
  <si>
    <t>Terms of use - Ojai Recovery</t>
  </si>
  <si>
    <t>These Terms of Use outline the rules and guidelines for accessing and using Ojai Recovery’s website and services. By visiting our site or engaging with our</t>
  </si>
  <si>
    <t>Terms of Use</t>
  </si>
  <si>
    <t>1. Acceptance of Terms</t>
  </si>
  <si>
    <t>2. Use of Website</t>
  </si>
  <si>
    <t>6876be2adba2cfc28759506902ed0415</t>
  </si>
  <si>
    <t>https://ojairecovery.com/testimonials/</t>
  </si>
  <si>
    <t>Testimonials - Ojai Recovery</t>
  </si>
  <si>
    <t>View all our Testimonials here at Ojai Recovery and see why we are the #1 choice for deep rooted healing in Ventura County! Contact us today to get started.</t>
  </si>
  <si>
    <t>Our Testimonials</t>
  </si>
  <si>
    <t>Read Our Google Reviews</t>
  </si>
  <si>
    <t>Robert Hurlburt</t>
  </si>
  <si>
    <t>c4155ef89bdc3d6d65cba044a462d2a2</t>
  </si>
  <si>
    <t>https://ojairecovery.com/the-difference-between-drug-detox-and-residential-rehab/</t>
  </si>
  <si>
    <t>The Key Difference Between Drug Detox and Residential Rehab Explained - Ojai Recovery</t>
  </si>
  <si>
    <t>Discover the distinction between drug detox and residential rehab at Ojai Recovery - top-tier addiction recovery expertise awaits!</t>
  </si>
  <si>
    <t>The Key Difference Between Drug Detox and Residential Rehab Explained</t>
  </si>
  <si>
    <t>dc3f0d3166b33bf283cb0f8695b847ec</t>
  </si>
  <si>
    <t>https://ojairecovery.com/therapies-experiences/</t>
  </si>
  <si>
    <t>Therapies &amp; Experiences - Ojai Recovery</t>
  </si>
  <si>
    <t>Ojai Recovery blends evidence-based therapy with experiential, somatic, and nature-based healing to support whole-person recovery and lasting transformation.</t>
  </si>
  <si>
    <t>Therapies &amp; Experiences In Ojai Recovery</t>
  </si>
  <si>
    <t>Therapies and Experiences for Whole-Person Healing</t>
  </si>
  <si>
    <t>What Makes Our Therapeutic Approach Different</t>
  </si>
  <si>
    <t>2901bea0192862305b5c0b8d1c65e96a</t>
  </si>
  <si>
    <t>https://ojairecovery.com/thousand-oaks-drug-rehab-why-clients-travel-to-ojai-for-recovery/</t>
  </si>
  <si>
    <t>Thousand Oaks Drug Rehab: Why Clients Travel to Ojai for Recovery</t>
  </si>
  <si>
    <t>Learn about our leading Thousand Oaks drug rehab clinic at Ojai Recovery - we serve the Thousand Oaks, Malibu and other nearby areas.</t>
  </si>
  <si>
    <t>7c71e278d00dc25a09d7ed2db81742d5</t>
  </si>
  <si>
    <t>https://ojairecovery.com/tour-our-facility/</t>
  </si>
  <si>
    <t>Tour Our Facility - Ojai Recovery</t>
  </si>
  <si>
    <t>Experience Healing in a Tranquil Setting</t>
  </si>
  <si>
    <t>Tour Our Facility</t>
  </si>
  <si>
    <t>51380586577cb932e3dadf221e1e5488</t>
  </si>
  <si>
    <t>https://ojairecovery.com/tricare-addiction-treatment-insurance-coverage/</t>
  </si>
  <si>
    <t>Tricare Addiction Treatment Insurance Coverage | No Hidden Costs</t>
  </si>
  <si>
    <t>Learn how Tricare covers addiction treatment with no hidden fees. Discover covered services, eligibility requirements, and how to verify your benefits for transparent, cost-effective care.</t>
  </si>
  <si>
    <t>Unveiling Tricare's addiction treatment insurance coverage: Say goodbye to hidden costs and hello to clarity!</t>
  </si>
  <si>
    <t>Tricare Addiction Treatment Insurance Coverage: No Hidden Costs</t>
  </si>
  <si>
    <t>e3d1c676803ec8f93415749c63f5fd10</t>
  </si>
  <si>
    <t>https://ojairecovery.com/understanding-in-network-vs-out-of-network-rehab/</t>
  </si>
  <si>
    <t>In-Network vs Out-of-Network Rehab Options | What You Need to Know</t>
  </si>
  <si>
    <t>Understand the differences between in-network and out-of-network rehab options. Learn how insurance affects coverage, costs, and your treatment choices for addiction recovery.</t>
  </si>
  <si>
    <t>Understand in-network vs out-of-network rehab options seamlessly - your guide to insurance coverage simplified!</t>
  </si>
  <si>
    <t>Navigating In Network vs Out of Network Rehab Options</t>
  </si>
  <si>
    <t>3ebc58500fb444f7c07c990c1d11caab</t>
  </si>
  <si>
    <t>https://ojairecovery.com/understanding-opioid-withdrawal-symptoms-timeline-and-treatment-options/</t>
  </si>
  <si>
    <t>Understanding Opioid Withdrawal: Our Guide to Symptoms &amp; Treatment - Ojai Recovery</t>
  </si>
  <si>
    <t>Discover symptoms, timeline, and treatment options for opioid withdrawal. Let us guide you through effective recovery strategies!</t>
  </si>
  <si>
    <t>Understanding Opioid Withdrawal: Our Guide to Symptoms &amp; Treatment</t>
  </si>
  <si>
    <t>635b2be9df9e516823e54694bcb2cada</t>
  </si>
  <si>
    <t>https://ojairecovery.com/unitedhealthcare-rehab-coverage-guide/</t>
  </si>
  <si>
    <t>Navigate Your UnitedHealthcare Rehab Coverage with Ease | Coverage Simplified</t>
  </si>
  <si>
    <t>Easily navigate UnitedHealthcare rehab benefits—from detox and inpatient to outpatient care. Learn what’s covered, how to verify your benefits, and find in-network providers for a smoother recovery experience.</t>
  </si>
  <si>
    <t>Maximize your UnitedHealthcare rehab coverage - Your comprehensive guide to residential care and detox services.</t>
  </si>
  <si>
    <t>Navigate Your UnitedHealthcare Rehab Coverage with Ease</t>
  </si>
  <si>
    <t>1287702a8365299792d954cc63e5a782</t>
  </si>
  <si>
    <t>https://ojairecovery.com/ventura-county-drug-rehab-comprehensive-inpatient-and-outpatient-options/</t>
  </si>
  <si>
    <t>Ventura County Drug Rehab: Comprehensive Inpatient and Outpatient Options</t>
  </si>
  <si>
    <t>Learn about comprehensive inpatient and outpatient treatment options at our luxurious Ventura County Drug Rehab center - Ojai Recovery.</t>
  </si>
  <si>
    <t>9d7dda4bffb6c214fe85690d04f8896a</t>
  </si>
  <si>
    <t>https://ojairecovery.com/verify-insurance/</t>
  </si>
  <si>
    <t>Verify Insurance - Ojai Recovery</t>
  </si>
  <si>
    <t>Verify your insurance benefits quickly and confidentially with Ojai Recovery. We handle the details so you can focus on getting the help you need.</t>
  </si>
  <si>
    <t>Verify Your Insurance Coverage</t>
  </si>
  <si>
    <t>We accept most major insurance plans</t>
  </si>
  <si>
    <t>We Work With Most Major Insurance Plans</t>
  </si>
  <si>
    <t>bd7807dd6e9afefba3c4c0f314dccad5</t>
  </si>
  <si>
    <t>https://ojairecovery.com/verify-mental-health-benefits-before-rehab/</t>
  </si>
  <si>
    <t>Verify Mental Health Benefits Before Rehab | Ensure Peace of Mind</t>
  </si>
  <si>
    <t>Learn how to verify your mental health benefits before starting rehab. Avoid surprises, understand coverage limits, and access the care you need with confidence.</t>
  </si>
  <si>
    <t>Ensure peace of mind by verifying mental health benefits before rehab. Know your coverage for a smoother journey.</t>
  </si>
  <si>
    <t>Verify Mental Health Benefits Before Rehab for Peace of Mind</t>
  </si>
  <si>
    <t>f07360f0383aa64f48bf6f438bd7c36d</t>
  </si>
  <si>
    <t>https://ojairecovery.com/what-insurance-covers-inpatient-mental-health-care/</t>
  </si>
  <si>
    <t>What Insurance Covers Inpatient Mental Health? | Unlocking Coverage</t>
  </si>
  <si>
    <t>Find out which insurance plans cover inpatient mental health care. Explore coverage details, how to verify your benefits, and access the support you need with confidence.</t>
  </si>
  <si>
    <t>Discover what insurance covers inpatient mental health care with clarity and ease. Empower your coverage knowledge today!</t>
  </si>
  <si>
    <t>Unlocking Coverage: What Insurance Covers Inpatient Mental Health?</t>
  </si>
  <si>
    <t>c4e853e4919b6bacb13a1f091870aa79</t>
  </si>
  <si>
    <t>https://ojairecovery.com/what-makes-ojai-recovery-s-detox-environment-different-from-a-hospital-setting/</t>
  </si>
  <si>
    <t>What Makes Ojai Recovery’s Detox Environment Unique and Inviting - Ojai Recovery</t>
  </si>
  <si>
    <t>Discover what sets Ojai Recovery's detox environment apart from traditional hospital settings. Experience personalized care and tailored rehabilitation plans.</t>
  </si>
  <si>
    <t>What Makes Ojai Recovery’s Detox Environment Unique and Inviting</t>
  </si>
  <si>
    <t>35b0d01d3af7decb6b1527fb1f25656a</t>
  </si>
  <si>
    <t>https://ojairecovery.com/what-to-expect-during-a-medically-supervised-detox-at-ojai-recovery/</t>
  </si>
  <si>
    <t>Our Guide to What to Expect During Detox at Ojai Recovery - Ojai Recovery</t>
  </si>
  <si>
    <t>Discover what to expect during a medically supervised detox at Ojai Recovery. Professional care for your addiction recovery journey.</t>
  </si>
  <si>
    <t>Why Choose Ojai Recovery</t>
  </si>
  <si>
    <t>The Importance of Medically Supervised Detox</t>
  </si>
  <si>
    <t>4cde51167825e8c33effd016215cfd68</t>
  </si>
  <si>
    <t>https://ojairecovery.com/which-insurance-plans-cover-luxury-rehab/</t>
  </si>
  <si>
    <t>Which Insurance Plans Cover Luxury Rehab? | Get Clear Coverage Info</t>
  </si>
  <si>
    <t>Discover which insurance plans cover luxury rehab programs. Learn about coverage options, eligibility, and how to access premium addiction treatment with confidence.</t>
  </si>
  <si>
    <t>Unravel the mystery of which insurance plans cover luxury rehab! Your clarity journey begins here.</t>
  </si>
  <si>
    <t>Which Insurance Plans Cover Luxury Rehab? Clarity Awaits!</t>
  </si>
  <si>
    <t>9901ced6337e3e04377f896c0f87ad49</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</si>
</sst>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1009]d/mmm/yy"/>
    <numFmt numFmtId="165" formatCode="m/d/yyyy"/>
    <numFmt numFmtId="166" formatCode="mmmm d, yyyy"/>
    <numFmt numFmtId="167" formatCode="mmmm d yyyy"/>
    <numFmt numFmtId="168" formatCode="yyyy-mm-dd"/>
    <numFmt numFmtId="169" formatCode="yyyy-mm-dd h:mm:ss"/>
  </numFmts>
  <fonts count="27">
    <font>
      <sz val="10.0"/>
      <color rgb="FF000000"/>
      <name val="Arial"/>
      <scheme val="minor"/>
    </font>
    <font>
      <b/>
      <color theme="1"/>
      <name val="Arial"/>
    </font>
    <font>
      <b/>
      <sz val="11.0"/>
      <color theme="1"/>
      <name val="Arial"/>
    </font>
    <font>
      <color theme="1"/>
      <name val="Arial"/>
    </font>
    <font>
      <u/>
      <sz val="11.0"/>
      <color rgb="FF1155CC"/>
      <name val="Arial"/>
    </font>
    <font>
      <sz val="12.0"/>
      <color rgb="FF111111"/>
      <name val="Gdsherpa"/>
    </font>
    <font>
      <sz val="11.0"/>
      <color theme="1"/>
      <name val="Arial"/>
    </font>
    <font>
      <u/>
      <color rgb="FF1155CC"/>
      <name val="Arial"/>
    </font>
    <font>
      <sz val="12.0"/>
      <color rgb="FF111111"/>
      <name val="Arial"/>
    </font>
    <font>
      <sz val="13.0"/>
      <color rgb="FF2C2C2C"/>
      <name val="Helvetica Neue"/>
    </font>
    <font>
      <u/>
      <color rgb="FF1155CC"/>
      <name val="Arial"/>
    </font>
    <font>
      <b/>
      <u/>
      <sz val="11.0"/>
      <color rgb="FF0000FF"/>
      <name val="Arial"/>
    </font>
    <font>
      <b/>
      <u/>
      <sz val="11.0"/>
      <color rgb="FF0000FF"/>
      <name val="Arial"/>
    </font>
    <font>
      <b/>
      <u/>
      <color rgb="FF0000FF"/>
      <name val="Arial"/>
    </font>
    <font>
      <u/>
      <sz val="11.0"/>
      <color rgb="FF0000FF"/>
      <name val="Arial"/>
    </font>
    <font>
      <sz val="11.0"/>
      <color rgb="FF000000"/>
      <name val="&quot;Aptos Narrow&quot;"/>
    </font>
    <font>
      <color rgb="FF000000"/>
      <name val="Arial"/>
    </font>
    <font>
      <u/>
      <color rgb="FF0000FF"/>
      <name val="Arial"/>
    </font>
    <font>
      <sz val="11.0"/>
      <color rgb="FF000000"/>
      <name val="Arial"/>
    </font>
    <font>
      <u/>
      <color rgb="FF0000FF"/>
      <name val="Arial"/>
    </font>
    <font>
      <sz val="10.0"/>
      <color rgb="FF2C2C2C"/>
      <name val="Arial"/>
    </font>
    <font>
      <u/>
      <color rgb="FF0000FF"/>
      <name val="Arial"/>
    </font>
    <font>
      <u/>
      <sz val="11.0"/>
      <color rgb="FF0000FF"/>
      <name val="Arial"/>
    </font>
    <font>
      <b/>
      <color theme="1"/>
      <name val="Arial"/>
      <scheme val="minor"/>
    </font>
    <font>
      <u/>
      <color rgb="FF0000FF"/>
    </font>
    <font>
      <color theme="1"/>
      <name val="Arial"/>
      <scheme val="minor"/>
    </font>
    <font>
      <u/>
      <color rgb="FF0000FF"/>
    </font>
  </fonts>
  <fills count="9">
    <fill>
      <patternFill patternType="none"/>
    </fill>
    <fill>
      <patternFill patternType="lightGray"/>
    </fill>
    <fill>
      <patternFill patternType="solid">
        <fgColor rgb="FFFFFFFF"/>
        <bgColor rgb="FFFFFFFF"/>
      </patternFill>
    </fill>
    <fill>
      <patternFill patternType="solid">
        <fgColor rgb="FFE1F3EB"/>
        <bgColor rgb="FFE1F3EB"/>
      </patternFill>
    </fill>
    <fill>
      <patternFill patternType="solid">
        <fgColor rgb="FFE6F5EE"/>
        <bgColor rgb="FFE6F5EE"/>
      </patternFill>
    </fill>
    <fill>
      <patternFill patternType="solid">
        <fgColor rgb="FFCFE2F3"/>
        <bgColor rgb="FFCFE2F3"/>
      </patternFill>
    </fill>
    <fill>
      <patternFill patternType="solid">
        <fgColor rgb="FFA4C2F4"/>
        <bgColor rgb="FFA4C2F4"/>
      </patternFill>
    </fill>
    <fill>
      <patternFill patternType="solid">
        <fgColor rgb="FFD9EAD3"/>
        <bgColor rgb="FFD9EAD3"/>
      </patternFill>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2" numFmtId="15" xfId="0" applyAlignment="1" applyFont="1" applyNumberFormat="1">
      <alignment horizontal="center" shrinkToFit="0" vertical="bottom" wrapText="1"/>
    </xf>
    <xf borderId="0" fillId="0" fontId="2" numFmtId="1" xfId="0" applyAlignment="1" applyFont="1" applyNumberFormat="1">
      <alignment horizontal="center" vertical="bottom"/>
    </xf>
    <xf borderId="0" fillId="0" fontId="2" numFmtId="4" xfId="0" applyAlignment="1" applyFont="1" applyNumberFormat="1">
      <alignment horizontal="center" shrinkToFit="0" vertical="bottom" wrapText="1"/>
    </xf>
    <xf borderId="0" fillId="0" fontId="2" numFmtId="1" xfId="0" applyAlignment="1" applyFont="1" applyNumberFormat="1">
      <alignment horizontal="center" shrinkToFit="0" vertical="bottom" wrapText="1"/>
    </xf>
    <xf borderId="0" fillId="0" fontId="1" numFmtId="4" xfId="0" applyAlignment="1" applyFont="1" applyNumberFormat="1">
      <alignment horizontal="center" shrinkToFit="0" vertical="bottom" wrapText="1"/>
    </xf>
    <xf borderId="0" fillId="0" fontId="3" numFmtId="0" xfId="0" applyAlignment="1" applyFont="1">
      <alignment shrinkToFit="0" vertical="bottom" wrapText="1"/>
    </xf>
    <xf borderId="0" fillId="0" fontId="3" numFmtId="0" xfId="0" applyAlignment="1" applyFont="1">
      <alignment vertical="bottom"/>
    </xf>
    <xf borderId="0" fillId="0" fontId="4" numFmtId="0" xfId="0" applyAlignment="1" applyFont="1">
      <alignment vertical="bottom"/>
    </xf>
    <xf borderId="0" fillId="2" fontId="5" numFmtId="164" xfId="0" applyAlignment="1" applyFill="1" applyFont="1" applyNumberFormat="1">
      <alignment horizontal="right" vertical="bottom"/>
    </xf>
    <xf borderId="1" fillId="3" fontId="6" numFmtId="1" xfId="0" applyAlignment="1" applyBorder="1" applyFill="1" applyFont="1" applyNumberFormat="1">
      <alignment horizontal="center" vertical="bottom"/>
    </xf>
    <xf borderId="0" fillId="0" fontId="6" numFmtId="3" xfId="0" applyAlignment="1" applyFont="1" applyNumberFormat="1">
      <alignment horizontal="center" vertical="bottom"/>
    </xf>
    <xf borderId="0" fillId="0" fontId="6" numFmtId="164" xfId="0" applyAlignment="1" applyFont="1" applyNumberFormat="1">
      <alignment horizontal="center" vertical="bottom"/>
    </xf>
    <xf borderId="1" fillId="4" fontId="6" numFmtId="1" xfId="0" applyAlignment="1" applyBorder="1" applyFill="1" applyFont="1" applyNumberFormat="1">
      <alignment horizontal="center" vertical="bottom"/>
    </xf>
    <xf borderId="0" fillId="0" fontId="3" numFmtId="0" xfId="0" applyAlignment="1" applyFont="1">
      <alignment horizontal="right" shrinkToFit="0" vertical="bottom" wrapText="1"/>
    </xf>
    <xf borderId="0" fillId="0" fontId="3" numFmtId="1" xfId="0" applyAlignment="1" applyFont="1" applyNumberFormat="1">
      <alignment horizontal="right" shrinkToFit="0" vertical="bottom" wrapText="1"/>
    </xf>
    <xf borderId="0" fillId="0" fontId="6" numFmtId="10" xfId="0" applyAlignment="1" applyFont="1" applyNumberFormat="1">
      <alignment horizontal="center" vertical="bottom"/>
    </xf>
    <xf borderId="0" fillId="0" fontId="3" numFmtId="10" xfId="0" applyAlignment="1" applyFont="1" applyNumberFormat="1">
      <alignment horizontal="right" shrinkToFit="0" vertical="bottom" wrapText="1"/>
    </xf>
    <xf borderId="0" fillId="0" fontId="3" numFmtId="3" xfId="0" applyAlignment="1" applyFont="1" applyNumberFormat="1">
      <alignment horizontal="right" shrinkToFit="0" vertical="bottom" wrapText="1"/>
    </xf>
    <xf borderId="0" fillId="0" fontId="7" numFmtId="0" xfId="0" applyAlignment="1" applyFont="1">
      <alignment vertical="bottom"/>
    </xf>
    <xf borderId="0" fillId="2" fontId="5" numFmtId="165" xfId="0" applyAlignment="1" applyFont="1" applyNumberFormat="1">
      <alignment horizontal="right" vertical="bottom"/>
    </xf>
    <xf borderId="0" fillId="0" fontId="3" numFmtId="166" xfId="0" applyAlignment="1" applyFont="1" applyNumberFormat="1">
      <alignment horizontal="right" shrinkToFit="0" vertical="bottom" wrapText="1"/>
    </xf>
    <xf borderId="0" fillId="0" fontId="3" numFmtId="167" xfId="0" applyAlignment="1" applyFont="1" applyNumberFormat="1">
      <alignment horizontal="right" shrinkToFit="0" vertical="bottom" wrapText="1"/>
    </xf>
    <xf borderId="0" fillId="2" fontId="8" numFmtId="165" xfId="0" applyAlignment="1" applyFont="1" applyNumberFormat="1">
      <alignment horizontal="right" vertical="bottom"/>
    </xf>
    <xf borderId="0" fillId="2" fontId="8" numFmtId="168" xfId="0" applyAlignment="1" applyFont="1" applyNumberFormat="1">
      <alignment horizontal="right" vertical="bottom"/>
    </xf>
    <xf borderId="0" fillId="2" fontId="9" numFmtId="166" xfId="0" applyAlignment="1" applyFont="1" applyNumberFormat="1">
      <alignment horizontal="center" vertical="bottom"/>
    </xf>
    <xf borderId="0" fillId="0" fontId="10" numFmtId="0" xfId="0" applyAlignment="1" applyFont="1">
      <alignment shrinkToFit="0" vertical="bottom" wrapText="1"/>
    </xf>
    <xf borderId="0" fillId="5" fontId="2" numFmtId="0" xfId="0" applyAlignment="1" applyFill="1" applyFont="1">
      <alignment vertical="bottom"/>
    </xf>
    <xf borderId="0" fillId="5" fontId="6" numFmtId="3" xfId="0" applyAlignment="1" applyFont="1" applyNumberFormat="1">
      <alignment horizontal="center" vertical="bottom"/>
    </xf>
    <xf borderId="0" fillId="0" fontId="3" numFmtId="4" xfId="0" applyAlignment="1" applyFont="1" applyNumberFormat="1">
      <alignment vertical="bottom"/>
    </xf>
    <xf borderId="0" fillId="6" fontId="2" numFmtId="0" xfId="0" applyAlignment="1" applyFill="1" applyFont="1">
      <alignment vertical="bottom"/>
    </xf>
    <xf borderId="0" fillId="6" fontId="2" numFmtId="3" xfId="0" applyAlignment="1" applyFont="1" applyNumberFormat="1">
      <alignment horizontal="center" vertical="bottom"/>
    </xf>
    <xf borderId="0" fillId="0" fontId="11" numFmtId="0" xfId="0" applyAlignment="1" applyFont="1">
      <alignment horizontal="center" readingOrder="0" shrinkToFit="0" vertical="bottom" wrapText="1"/>
    </xf>
    <xf borderId="0" fillId="0" fontId="12" numFmtId="1" xfId="0" applyAlignment="1" applyFont="1" applyNumberFormat="1">
      <alignment horizontal="center" readingOrder="0" shrinkToFit="0" vertical="bottom" wrapText="1"/>
    </xf>
    <xf borderId="0" fillId="0" fontId="13" numFmtId="0" xfId="0" applyAlignment="1" applyFont="1">
      <alignment horizontal="center" readingOrder="0" shrinkToFit="0" vertical="bottom" wrapText="1"/>
    </xf>
    <xf borderId="0" fillId="0" fontId="1" numFmtId="0" xfId="0" applyAlignment="1" applyFont="1">
      <alignment horizontal="center" readingOrder="0" shrinkToFit="0" vertical="bottom" wrapText="1"/>
    </xf>
    <xf borderId="0" fillId="0" fontId="3" numFmtId="0" xfId="0" applyAlignment="1" applyFont="1">
      <alignment readingOrder="0" vertical="bottom"/>
    </xf>
    <xf borderId="0" fillId="0" fontId="14" numFmtId="0" xfId="0" applyAlignment="1" applyFont="1">
      <alignment readingOrder="0" vertical="bottom"/>
    </xf>
    <xf borderId="0" fillId="2" fontId="5" numFmtId="164" xfId="0" applyAlignment="1" applyFont="1" applyNumberFormat="1">
      <alignment readingOrder="0"/>
    </xf>
    <xf borderId="0" fillId="0" fontId="6" numFmtId="164" xfId="0" applyAlignment="1" applyFont="1" applyNumberFormat="1">
      <alignment horizontal="center" readingOrder="0" vertical="bottom"/>
    </xf>
    <xf borderId="0" fillId="0" fontId="15" numFmtId="0" xfId="0" applyAlignment="1" applyFont="1">
      <alignment horizontal="right" readingOrder="0" shrinkToFit="0" vertical="bottom" wrapText="0"/>
    </xf>
    <xf borderId="0" fillId="0" fontId="3" numFmtId="0" xfId="0" applyAlignment="1" applyFont="1">
      <alignment horizontal="right" readingOrder="0" shrinkToFit="0" vertical="bottom" wrapText="1"/>
    </xf>
    <xf borderId="0" fillId="0" fontId="16" numFmtId="0" xfId="0" applyAlignment="1" applyFont="1">
      <alignment readingOrder="0" vertical="bottom"/>
    </xf>
    <xf borderId="0" fillId="0" fontId="17" numFmtId="0" xfId="0" applyAlignment="1" applyFont="1">
      <alignment readingOrder="0" vertical="bottom"/>
    </xf>
    <xf borderId="0" fillId="2" fontId="5" numFmtId="165" xfId="0" applyAlignment="1" applyFont="1" applyNumberFormat="1">
      <alignment readingOrder="0"/>
    </xf>
    <xf borderId="0" fillId="0" fontId="3" numFmtId="166" xfId="0" applyAlignment="1" applyFont="1" applyNumberFormat="1">
      <alignment horizontal="right" readingOrder="0" shrinkToFit="0" vertical="bottom" wrapText="1"/>
    </xf>
    <xf borderId="0" fillId="0" fontId="18" numFmtId="0" xfId="0" applyAlignment="1" applyFont="1">
      <alignment horizontal="right" readingOrder="0" shrinkToFit="0" vertical="bottom" wrapText="0"/>
    </xf>
    <xf borderId="0" fillId="7" fontId="16" numFmtId="0" xfId="0" applyAlignment="1" applyFill="1" applyFont="1">
      <alignment readingOrder="0" vertical="bottom"/>
    </xf>
    <xf borderId="0" fillId="7" fontId="19" numFmtId="0" xfId="0" applyAlignment="1" applyFont="1">
      <alignment readingOrder="0" vertical="bottom"/>
    </xf>
    <xf borderId="0" fillId="7" fontId="5" numFmtId="165" xfId="0" applyAlignment="1" applyFont="1" applyNumberFormat="1">
      <alignment horizontal="right" readingOrder="0" vertical="bottom"/>
    </xf>
    <xf borderId="1" fillId="7" fontId="6" numFmtId="1" xfId="0" applyAlignment="1" applyBorder="1" applyFont="1" applyNumberFormat="1">
      <alignment horizontal="center" vertical="bottom"/>
    </xf>
    <xf borderId="0" fillId="7" fontId="6" numFmtId="3" xfId="0" applyAlignment="1" applyFont="1" applyNumberFormat="1">
      <alignment horizontal="center" vertical="bottom"/>
    </xf>
    <xf borderId="0" fillId="7" fontId="3" numFmtId="167" xfId="0" applyAlignment="1" applyFont="1" applyNumberFormat="1">
      <alignment horizontal="right" readingOrder="0" shrinkToFit="0" vertical="bottom" wrapText="1"/>
    </xf>
    <xf borderId="0" fillId="7" fontId="3" numFmtId="0" xfId="0" applyAlignment="1" applyFont="1">
      <alignment horizontal="right" readingOrder="0" shrinkToFit="0" vertical="bottom" wrapText="1"/>
    </xf>
    <xf borderId="0" fillId="7" fontId="3" numFmtId="1" xfId="0" applyAlignment="1" applyFont="1" applyNumberFormat="1">
      <alignment horizontal="right" shrinkToFit="0" vertical="bottom" wrapText="1"/>
    </xf>
    <xf borderId="0" fillId="7" fontId="3" numFmtId="1" xfId="0" applyAlignment="1" applyFont="1" applyNumberFormat="1">
      <alignment horizontal="right" readingOrder="0" shrinkToFit="0" vertical="bottom" wrapText="1"/>
    </xf>
    <xf borderId="0" fillId="7" fontId="6" numFmtId="10" xfId="0" applyAlignment="1" applyFont="1" applyNumberFormat="1">
      <alignment horizontal="center" vertical="bottom"/>
    </xf>
    <xf borderId="0" fillId="7" fontId="3" numFmtId="10" xfId="0" applyAlignment="1" applyFont="1" applyNumberFormat="1">
      <alignment horizontal="right" shrinkToFit="0" vertical="bottom" wrapText="1"/>
    </xf>
    <xf borderId="0" fillId="7" fontId="3" numFmtId="3" xfId="0" applyAlignment="1" applyFont="1" applyNumberFormat="1">
      <alignment horizontal="right" shrinkToFit="0" vertical="bottom" wrapText="1"/>
    </xf>
    <xf borderId="0" fillId="7" fontId="3" numFmtId="0" xfId="0" applyAlignment="1" applyFont="1">
      <alignment horizontal="right" shrinkToFit="0" vertical="bottom" wrapText="1"/>
    </xf>
    <xf borderId="0" fillId="7" fontId="3" numFmtId="0" xfId="0" applyAlignment="1" applyFont="1">
      <alignment vertical="bottom"/>
    </xf>
    <xf borderId="0" fillId="7" fontId="8" numFmtId="165" xfId="0" applyAlignment="1" applyFont="1" applyNumberFormat="1">
      <alignment horizontal="right" readingOrder="0" vertical="bottom"/>
    </xf>
    <xf borderId="0" fillId="7" fontId="3" numFmtId="166" xfId="0" applyAlignment="1" applyFont="1" applyNumberFormat="1">
      <alignment horizontal="right" readingOrder="0" shrinkToFit="0" vertical="bottom" wrapText="1"/>
    </xf>
    <xf borderId="0" fillId="2" fontId="5" numFmtId="168" xfId="0" applyAlignment="1" applyFont="1" applyNumberFormat="1">
      <alignment readingOrder="0"/>
    </xf>
    <xf borderId="0" fillId="2" fontId="20" numFmtId="166" xfId="0" applyAlignment="1" applyFont="1" applyNumberFormat="1">
      <alignment horizontal="center" readingOrder="0" vertical="bottom"/>
    </xf>
    <xf borderId="0" fillId="0" fontId="16" numFmtId="0" xfId="0" applyAlignment="1" applyFont="1">
      <alignment readingOrder="0" shrinkToFit="0" vertical="bottom" wrapText="1"/>
    </xf>
    <xf borderId="0" fillId="0" fontId="21" numFmtId="0" xfId="0" applyAlignment="1" applyFont="1">
      <alignment readingOrder="0" shrinkToFit="0" vertical="bottom" wrapText="1"/>
    </xf>
    <xf borderId="0" fillId="2" fontId="8" numFmtId="168" xfId="0" applyAlignment="1" applyFont="1" applyNumberFormat="1">
      <alignment horizontal="right" readingOrder="0" vertical="bottom"/>
    </xf>
    <xf borderId="0" fillId="2" fontId="8" numFmtId="165" xfId="0" applyAlignment="1" applyFont="1" applyNumberFormat="1">
      <alignment horizontal="right" readingOrder="0" vertical="bottom"/>
    </xf>
    <xf borderId="0" fillId="2" fontId="5" numFmtId="165" xfId="0" applyAlignment="1" applyFont="1" applyNumberFormat="1">
      <alignment horizontal="right" readingOrder="0" vertical="bottom"/>
    </xf>
    <xf borderId="0" fillId="8" fontId="3" numFmtId="0" xfId="0" applyAlignment="1" applyFill="1" applyFont="1">
      <alignment readingOrder="0" vertical="bottom"/>
    </xf>
    <xf borderId="0" fillId="8" fontId="22" numFmtId="0" xfId="0" applyAlignment="1" applyFont="1">
      <alignment readingOrder="0" vertical="bottom"/>
    </xf>
    <xf borderId="0" fillId="8" fontId="5" numFmtId="164" xfId="0" applyAlignment="1" applyFont="1" applyNumberFormat="1">
      <alignment horizontal="right" readingOrder="0" vertical="bottom"/>
    </xf>
    <xf borderId="1" fillId="8" fontId="6" numFmtId="1" xfId="0" applyAlignment="1" applyBorder="1" applyFont="1" applyNumberFormat="1">
      <alignment horizontal="center" vertical="bottom"/>
    </xf>
    <xf borderId="0" fillId="8" fontId="6" numFmtId="3" xfId="0" applyAlignment="1" applyFont="1" applyNumberFormat="1">
      <alignment horizontal="center" vertical="bottom"/>
    </xf>
    <xf borderId="0" fillId="8" fontId="6" numFmtId="164" xfId="0" applyAlignment="1" applyFont="1" applyNumberFormat="1">
      <alignment horizontal="center" readingOrder="0" vertical="bottom"/>
    </xf>
    <xf borderId="0" fillId="8" fontId="3" numFmtId="0" xfId="0" applyAlignment="1" applyFont="1">
      <alignment horizontal="right" readingOrder="0" shrinkToFit="0" vertical="bottom" wrapText="1"/>
    </xf>
    <xf borderId="0" fillId="8" fontId="3" numFmtId="1" xfId="0" applyAlignment="1" applyFont="1" applyNumberFormat="1">
      <alignment horizontal="right" shrinkToFit="0" vertical="bottom" wrapText="1"/>
    </xf>
    <xf borderId="0" fillId="8" fontId="6" numFmtId="10" xfId="0" applyAlignment="1" applyFont="1" applyNumberFormat="1">
      <alignment horizontal="center" vertical="bottom"/>
    </xf>
    <xf borderId="0" fillId="8" fontId="3" numFmtId="10" xfId="0" applyAlignment="1" applyFont="1" applyNumberFormat="1">
      <alignment horizontal="right" shrinkToFit="0" vertical="bottom" wrapText="1"/>
    </xf>
    <xf borderId="0" fillId="8" fontId="3" numFmtId="3" xfId="0" applyAlignment="1" applyFont="1" applyNumberFormat="1">
      <alignment horizontal="right" shrinkToFit="0" vertical="bottom" wrapText="1"/>
    </xf>
    <xf borderId="0" fillId="8" fontId="3" numFmtId="0" xfId="0" applyAlignment="1" applyFont="1">
      <alignment horizontal="right" shrinkToFit="0" vertical="bottom" wrapText="1"/>
    </xf>
    <xf borderId="0" fillId="8" fontId="3" numFmtId="0" xfId="0" applyAlignment="1" applyFont="1">
      <alignment vertical="bottom"/>
    </xf>
    <xf borderId="0" fillId="7" fontId="8" numFmtId="168" xfId="0" applyAlignment="1" applyFont="1" applyNumberFormat="1">
      <alignment horizontal="right" readingOrder="0" vertical="bottom"/>
    </xf>
    <xf borderId="0" fillId="0" fontId="23" numFmtId="0" xfId="0" applyAlignment="1" applyFont="1">
      <alignment readingOrder="0"/>
    </xf>
    <xf borderId="0" fillId="0" fontId="23" numFmtId="0" xfId="0" applyFont="1"/>
    <xf borderId="0" fillId="0" fontId="24" numFmtId="0" xfId="0" applyAlignment="1" applyFont="1">
      <alignment readingOrder="0"/>
    </xf>
    <xf borderId="0" fillId="0" fontId="25" numFmtId="0" xfId="0" applyAlignment="1" applyFont="1">
      <alignment readingOrder="0"/>
    </xf>
    <xf borderId="0" fillId="0" fontId="25" numFmtId="169" xfId="0" applyAlignment="1" applyFont="1" applyNumberFormat="1">
      <alignment readingOrder="0"/>
    </xf>
    <xf borderId="0" fillId="0" fontId="2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'Jan 2026'!$I$1</c:f>
            </c:strRef>
          </c:tx>
          <c:spPr>
            <a:solidFill>
              <a:schemeClr val="accent1"/>
            </a:solidFill>
            <a:ln cmpd="sng">
              <a:solidFill>
                <a:srgbClr val="000000"/>
              </a:solidFill>
            </a:ln>
          </c:spPr>
          <c:cat>
            <c:strRef>
              <c:f>'Jan 2026'!$A$2:$A$1000</c:f>
            </c:strRef>
          </c:cat>
          <c:val>
            <c:numRef>
              <c:f>'Jan 2026'!$I$2:$I$1000</c:f>
              <c:numCache/>
            </c:numRef>
          </c:val>
        </c:ser>
        <c:ser>
          <c:idx val="2"/>
          <c:order val="2"/>
          <c:tx>
            <c:strRef>
              <c:f>'Jan 2026'!$M$1</c:f>
            </c:strRef>
          </c:tx>
          <c:cat>
            <c:strRef>
              <c:f>'Jan 2026'!$A$2:$A$1000</c:f>
            </c:strRef>
          </c:cat>
          <c:val>
            <c:numRef>
              <c:f>'Jan 2026'!$M$2:$M$1000</c:f>
              <c:numCache/>
            </c:numRef>
          </c:val>
        </c:ser>
        <c:axId val="275950791"/>
        <c:axId val="877528591"/>
      </c:barChart>
      <c:catAx>
        <c:axId val="2759507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77528591"/>
      </c:catAx>
      <c:valAx>
        <c:axId val="8775285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5950791"/>
      </c:valAx>
      <c:barChart>
        <c:barDir val="col"/>
        <c:ser>
          <c:idx val="1"/>
          <c:order val="1"/>
          <c:tx>
            <c:strRef>
              <c:f>'Jan 2026'!$BF$1</c:f>
            </c:strRef>
          </c:tx>
          <c:spPr>
            <a:solidFill>
              <a:schemeClr val="accent2"/>
            </a:solidFill>
            <a:ln cmpd="sng">
              <a:solidFill>
                <a:srgbClr val="000000"/>
              </a:solidFill>
            </a:ln>
          </c:spPr>
          <c:cat>
            <c:strRef>
              <c:f>'Jan 2026'!$A$2:$A$1000</c:f>
            </c:strRef>
          </c:cat>
          <c:val>
            <c:numRef>
              <c:f>'Jan 2026'!$BF$2:$BF$1000</c:f>
              <c:numCache/>
            </c:numRef>
          </c:val>
        </c:ser>
        <c:axId val="786223939"/>
        <c:axId val="1403301001"/>
      </c:barChart>
      <c:catAx>
        <c:axId val="786223939"/>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1403301001"/>
      </c:catAx>
      <c:valAx>
        <c:axId val="1403301001"/>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6223939"/>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1"/>
          <c:order val="1"/>
          <c:tx>
            <c:strRef>
              <c:f>'Copy of Jan 2026'!$W$1</c:f>
            </c:strRef>
          </c:tx>
          <c:spPr>
            <a:solidFill>
              <a:srgbClr val="6D9EEB"/>
            </a:solidFill>
            <a:ln cmpd="sng">
              <a:solidFill>
                <a:srgbClr val="000000"/>
              </a:solidFill>
            </a:ln>
          </c:spPr>
          <c:cat>
            <c:strRef>
              <c:f>'Copy of Jan 2026'!$A$2:$A$11</c:f>
            </c:strRef>
          </c:cat>
          <c:val>
            <c:numRef>
              <c:f>'Copy of Jan 2026'!$W$2:$W$11</c:f>
              <c:numCache/>
            </c:numRef>
          </c:val>
        </c:ser>
        <c:ser>
          <c:idx val="2"/>
          <c:order val="2"/>
          <c:tx>
            <c:strRef>
              <c:f>'Copy of Jan 2026'!$AE$1</c:f>
            </c:strRef>
          </c:tx>
          <c:spPr>
            <a:solidFill>
              <a:srgbClr val="F6B26B"/>
            </a:solidFill>
            <a:ln cmpd="sng">
              <a:solidFill>
                <a:srgbClr val="000000"/>
              </a:solidFill>
            </a:ln>
          </c:spPr>
          <c:cat>
            <c:strRef>
              <c:f>'Copy of Jan 2026'!$A$2:$A$11</c:f>
            </c:strRef>
          </c:cat>
          <c:val>
            <c:numRef>
              <c:f>'Copy of Jan 2026'!$AE$2:$AE$11</c:f>
              <c:numCache/>
            </c:numRef>
          </c:val>
        </c:ser>
        <c:axId val="1585667623"/>
        <c:axId val="242685718"/>
      </c:barChart>
      <c:catAx>
        <c:axId val="158566762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42685718"/>
      </c:catAx>
      <c:valAx>
        <c:axId val="2426857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85667623"/>
      </c:valAx>
      <c:barChart>
        <c:barDir val="col"/>
        <c:ser>
          <c:idx val="0"/>
          <c:order val="0"/>
          <c:tx>
            <c:strRef>
              <c:f>'Copy of Jan 2026'!$D$1</c:f>
            </c:strRef>
          </c:tx>
          <c:spPr>
            <a:solidFill>
              <a:srgbClr val="8E7CC3"/>
            </a:solidFill>
            <a:ln cmpd="sng">
              <a:solidFill>
                <a:srgbClr val="000000"/>
              </a:solidFill>
            </a:ln>
          </c:spPr>
          <c:cat>
            <c:strRef>
              <c:f>'Copy of Jan 2026'!$A$2:$A$11</c:f>
            </c:strRef>
          </c:cat>
          <c:val>
            <c:numRef>
              <c:f>'Copy of Jan 2026'!$D$2:$D$11</c:f>
              <c:numCache/>
            </c:numRef>
          </c:val>
        </c:ser>
        <c:axId val="1867221162"/>
        <c:axId val="874855628"/>
      </c:barChart>
      <c:catAx>
        <c:axId val="1867221162"/>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874855628"/>
      </c:catAx>
      <c:valAx>
        <c:axId val="874855628"/>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67221162"/>
        <c:crosses val="max"/>
      </c:valAx>
    </c:plotArea>
    <c:legend>
      <c:legendPos val="t"/>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'Copy of Jan 2026'!$BF$1</c:f>
            </c:strRef>
          </c:tx>
          <c:spPr>
            <a:solidFill>
              <a:srgbClr val="B4A7D6"/>
            </a:solidFill>
            <a:ln cmpd="sng">
              <a:solidFill>
                <a:srgbClr val="000000"/>
              </a:solidFill>
            </a:ln>
          </c:spPr>
          <c:cat>
            <c:strRef>
              <c:f>'Copy of Jan 2026'!$A$2:$A$11</c:f>
            </c:strRef>
          </c:cat>
          <c:val>
            <c:numRef>
              <c:f>'Copy of Jan 2026'!$BF$2:$BF$11</c:f>
              <c:numCache/>
            </c:numRef>
          </c:val>
        </c:ser>
        <c:ser>
          <c:idx val="1"/>
          <c:order val="1"/>
          <c:tx>
            <c:strRef>
              <c:f>'Copy of Jan 2026'!$W$1</c:f>
            </c:strRef>
          </c:tx>
          <c:spPr>
            <a:solidFill>
              <a:srgbClr val="9FC5E8"/>
            </a:solidFill>
            <a:ln cmpd="sng">
              <a:solidFill>
                <a:srgbClr val="000000"/>
              </a:solidFill>
            </a:ln>
          </c:spPr>
          <c:cat>
            <c:strRef>
              <c:f>'Copy of Jan 2026'!$A$2:$A$11</c:f>
            </c:strRef>
          </c:cat>
          <c:val>
            <c:numRef>
              <c:f>'Copy of Jan 2026'!$W$2:$W$11</c:f>
              <c:numCache/>
            </c:numRef>
          </c:val>
        </c:ser>
        <c:ser>
          <c:idx val="2"/>
          <c:order val="2"/>
          <c:tx>
            <c:strRef>
              <c:f>'Copy of Jan 2026'!$Y$1</c:f>
            </c:strRef>
          </c:tx>
          <c:cat>
            <c:strRef>
              <c:f>'Copy of Jan 2026'!$A$2:$A$11</c:f>
            </c:strRef>
          </c:cat>
          <c:val>
            <c:numRef>
              <c:f>'Copy of Jan 2026'!$Y$2:$Y$11</c:f>
              <c:numCache/>
            </c:numRef>
          </c:val>
        </c:ser>
        <c:axId val="1932115668"/>
        <c:axId val="712357530"/>
      </c:barChart>
      <c:catAx>
        <c:axId val="19321156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a:solidFill>
                  <a:srgbClr val="000000"/>
                </a:solidFill>
                <a:latin typeface="+mn-lt"/>
              </a:defRPr>
            </a:pPr>
          </a:p>
        </c:txPr>
        <c:crossAx val="712357530"/>
      </c:catAx>
      <c:valAx>
        <c:axId val="712357530"/>
        <c:scaling>
          <c:orientation val="minMax"/>
          <c:max val="6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211566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'Copy of Jan 2026'!$Q$1</c:f>
            </c:strRef>
          </c:tx>
          <c:spPr>
            <a:solidFill>
              <a:srgbClr val="9FC5E8"/>
            </a:solidFill>
            <a:ln cmpd="sng">
              <a:solidFill>
                <a:srgbClr val="000000"/>
              </a:solidFill>
            </a:ln>
          </c:spPr>
          <c:cat>
            <c:strRef>
              <c:f>'Copy of Jan 2026'!$A$2:$A$11</c:f>
            </c:strRef>
          </c:cat>
          <c:val>
            <c:numRef>
              <c:f>'Copy of Jan 2026'!$Q$2:$Q$11</c:f>
              <c:numCache/>
            </c:numRef>
          </c:val>
        </c:ser>
        <c:ser>
          <c:idx val="1"/>
          <c:order val="1"/>
          <c:tx>
            <c:strRef>
              <c:f>'Copy of Jan 2026'!$U$1</c:f>
            </c:strRef>
          </c:tx>
          <c:spPr>
            <a:solidFill>
              <a:srgbClr val="EA9999"/>
            </a:solidFill>
            <a:ln cmpd="sng">
              <a:solidFill>
                <a:srgbClr val="000000"/>
              </a:solidFill>
            </a:ln>
          </c:spPr>
          <c:cat>
            <c:strRef>
              <c:f>'Copy of Jan 2026'!$A$2:$A$11</c:f>
            </c:strRef>
          </c:cat>
          <c:val>
            <c:numRef>
              <c:f>'Copy of Jan 2026'!$U$2:$U$11</c:f>
              <c:numCache/>
            </c:numRef>
          </c:val>
        </c:ser>
        <c:axId val="985990283"/>
        <c:axId val="2144329347"/>
      </c:barChart>
      <c:catAx>
        <c:axId val="9859902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0"/>
          <a:lstStyle/>
          <a:p>
            <a:pPr lvl="0">
              <a:defRPr b="0">
                <a:solidFill>
                  <a:srgbClr val="000000"/>
                </a:solidFill>
                <a:latin typeface="+mn-lt"/>
              </a:defRPr>
            </a:pPr>
          </a:p>
        </c:txPr>
        <c:crossAx val="2144329347"/>
      </c:catAx>
      <c:valAx>
        <c:axId val="21443293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5990283"/>
      </c:valAx>
      <c:barChart>
        <c:barDir val="col"/>
        <c:ser>
          <c:idx val="2"/>
          <c:order val="2"/>
          <c:tx>
            <c:strRef>
              <c:f>'Copy of Jan 2026'!$AQ$1</c:f>
            </c:strRef>
          </c:tx>
          <c:spPr>
            <a:solidFill>
              <a:srgbClr val="F9CB9C"/>
            </a:solidFill>
            <a:ln cmpd="sng">
              <a:solidFill>
                <a:srgbClr val="000000"/>
              </a:solidFill>
            </a:ln>
          </c:spPr>
          <c:cat>
            <c:strRef>
              <c:f>'Copy of Jan 2026'!$A$2:$A$11</c:f>
            </c:strRef>
          </c:cat>
          <c:val>
            <c:numRef>
              <c:f>'Copy of Jan 2026'!$AQ$2:$AQ$11</c:f>
              <c:numCache/>
            </c:numRef>
          </c:val>
        </c:ser>
        <c:axId val="1854968986"/>
        <c:axId val="231850467"/>
      </c:barChart>
      <c:catAx>
        <c:axId val="1854968986"/>
        <c:scaling>
          <c:orientation val="minMax"/>
        </c:scaling>
        <c:delete val="0"/>
        <c:axPos val="b"/>
        <c:numFmt formatCode="General" sourceLinked="1"/>
        <c:majorTickMark val="none"/>
        <c:minorTickMark val="none"/>
        <c:spPr/>
        <c:txPr>
          <a:bodyPr rot="0"/>
          <a:lstStyle/>
          <a:p>
            <a:pPr lvl="0">
              <a:defRPr b="0">
                <a:solidFill>
                  <a:srgbClr val="000000"/>
                </a:solidFill>
                <a:latin typeface="+mn-lt"/>
              </a:defRPr>
            </a:pPr>
          </a:p>
        </c:txPr>
        <c:crossAx val="231850467"/>
      </c:catAx>
      <c:valAx>
        <c:axId val="23185046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54968986"/>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'Copy of Jan 2026'!$BF$1</c:f>
            </c:strRef>
          </c:tx>
          <c:spPr>
            <a:solidFill>
              <a:srgbClr val="B4A7D6"/>
            </a:solidFill>
            <a:ln cmpd="sng">
              <a:solidFill>
                <a:srgbClr val="000000"/>
              </a:solidFill>
            </a:ln>
          </c:spPr>
          <c:cat>
            <c:strRef>
              <c:f>'Copy of Jan 2026'!$A$2:$A$11</c:f>
            </c:strRef>
          </c:cat>
          <c:val>
            <c:numRef>
              <c:f>'Copy of Jan 2026'!$BF$2:$BF$11</c:f>
              <c:numCache/>
            </c:numRef>
          </c:val>
        </c:ser>
        <c:ser>
          <c:idx val="1"/>
          <c:order val="1"/>
          <c:tx>
            <c:strRef>
              <c:f>'Copy of Jan 2026'!$W$1</c:f>
            </c:strRef>
          </c:tx>
          <c:spPr>
            <a:solidFill>
              <a:srgbClr val="9FC5E8"/>
            </a:solidFill>
            <a:ln cmpd="sng">
              <a:solidFill>
                <a:srgbClr val="000000"/>
              </a:solidFill>
            </a:ln>
          </c:spPr>
          <c:cat>
            <c:strRef>
              <c:f>'Copy of Jan 2026'!$A$2:$A$11</c:f>
            </c:strRef>
          </c:cat>
          <c:val>
            <c:numRef>
              <c:f>'Copy of Jan 2026'!$W$2:$W$11</c:f>
              <c:numCache/>
            </c:numRef>
          </c:val>
        </c:ser>
        <c:ser>
          <c:idx val="2"/>
          <c:order val="2"/>
          <c:tx>
            <c:strRef>
              <c:f>'Copy of Jan 2026'!$Y$1</c:f>
            </c:strRef>
          </c:tx>
          <c:cat>
            <c:strRef>
              <c:f>'Copy of Jan 2026'!$A$2:$A$11</c:f>
            </c:strRef>
          </c:cat>
          <c:val>
            <c:numRef>
              <c:f>'Copy of Jan 2026'!$Y$2:$Y$11</c:f>
              <c:numCache/>
            </c:numRef>
          </c:val>
        </c:ser>
        <c:axId val="1379477661"/>
        <c:axId val="955382432"/>
      </c:barChart>
      <c:catAx>
        <c:axId val="13794776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5382432"/>
      </c:catAx>
      <c:valAx>
        <c:axId val="955382432"/>
        <c:scaling>
          <c:orientation val="minMax"/>
          <c:max val="6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947766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AI Visibility</a:t>
            </a:r>
          </a:p>
        </c:rich>
      </c:tx>
      <c:layout>
        <c:manualLayout>
          <c:xMode val="edge"/>
          <c:yMode val="edge"/>
          <c:x val="0.015380761523046094"/>
          <c:y val="0.03145285935085008"/>
        </c:manualLayout>
      </c:layout>
      <c:overlay val="0"/>
    </c:title>
    <c:plotArea>
      <c:layout/>
      <c:barChart>
        <c:barDir val="col"/>
        <c:ser>
          <c:idx val="0"/>
          <c:order val="0"/>
          <c:tx>
            <c:strRef>
              <c:f>Sheet4!$Q$1</c:f>
            </c:strRef>
          </c:tx>
          <c:spPr>
            <a:solidFill>
              <a:srgbClr val="8E7CC3"/>
            </a:solidFill>
            <a:ln cmpd="sng">
              <a:solidFill>
                <a:srgbClr val="000000"/>
              </a:solidFill>
            </a:ln>
          </c:spPr>
          <c:dPt>
            <c:idx val="0"/>
          </c:dPt>
          <c:dPt>
            <c:idx val="2"/>
          </c:dPt>
          <c:dPt>
            <c:idx val="3"/>
          </c:dPt>
          <c:cat>
            <c:strRef>
              <c:f>Sheet4!$A$2:$A$11</c:f>
            </c:strRef>
          </c:cat>
          <c:val>
            <c:numRef>
              <c:f>Sheet4!$Q$2:$Q$11</c:f>
              <c:numCache/>
            </c:numRef>
          </c:val>
        </c:ser>
        <c:ser>
          <c:idx val="1"/>
          <c:order val="1"/>
          <c:tx>
            <c:strRef>
              <c:f>Sheet4!$U$1</c:f>
            </c:strRef>
          </c:tx>
          <c:spPr>
            <a:solidFill>
              <a:srgbClr val="6D9EEB"/>
            </a:solidFill>
            <a:ln cmpd="sng">
              <a:solidFill>
                <a:srgbClr val="000000"/>
              </a:solidFill>
            </a:ln>
          </c:spPr>
          <c:cat>
            <c:strRef>
              <c:f>Sheet4!$A$2:$A$11</c:f>
            </c:strRef>
          </c:cat>
          <c:val>
            <c:numRef>
              <c:f>Sheet4!$U$2:$U$11</c:f>
              <c:numCache/>
            </c:numRef>
          </c:val>
        </c:ser>
        <c:ser>
          <c:idx val="2"/>
          <c:order val="2"/>
          <c:tx>
            <c:strRef>
              <c:f>Sheet4!$AQ$1</c:f>
            </c:strRef>
          </c:tx>
          <c:spPr>
            <a:solidFill>
              <a:srgbClr val="FF9900"/>
            </a:solidFill>
            <a:ln cmpd="sng">
              <a:solidFill>
                <a:srgbClr val="000000"/>
              </a:solidFill>
            </a:ln>
          </c:spPr>
          <c:cat>
            <c:strRef>
              <c:f>Sheet4!$A$2:$A$11</c:f>
            </c:strRef>
          </c:cat>
          <c:val>
            <c:numRef>
              <c:f>Sheet4!$AQ$2:$AQ$11</c:f>
              <c:numCache/>
            </c:numRef>
          </c:val>
        </c:ser>
        <c:axId val="1530395471"/>
        <c:axId val="144999427"/>
      </c:barChart>
      <c:catAx>
        <c:axId val="1530395471"/>
        <c:scaling>
          <c:orientation val="minMax"/>
        </c:scaling>
        <c:delete val="0"/>
        <c:axPos val="b"/>
        <c:numFmt formatCode="General" sourceLinked="1"/>
        <c:majorTickMark val="none"/>
        <c:minorTickMark val="none"/>
        <c:spPr/>
        <c:txPr>
          <a:bodyPr/>
          <a:lstStyle/>
          <a:p>
            <a:pPr lvl="0">
              <a:defRPr b="0">
                <a:solidFill>
                  <a:srgbClr val="000000"/>
                </a:solidFill>
                <a:latin typeface="+mn-lt"/>
              </a:defRPr>
            </a:pPr>
          </a:p>
        </c:txPr>
        <c:crossAx val="144999427"/>
      </c:catAx>
      <c:valAx>
        <c:axId val="144999427"/>
        <c:scaling>
          <c:orientation val="minMax"/>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0395471"/>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1333500</xdr:colOff>
      <xdr:row>20</xdr:row>
      <xdr:rowOff>85725</xdr:rowOff>
    </xdr:from>
    <xdr:ext cx="8172450" cy="5057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238125</xdr:colOff>
      <xdr:row>10</xdr:row>
      <xdr:rowOff>190500</xdr:rowOff>
    </xdr:from>
    <xdr:ext cx="8648700" cy="534352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2295525</xdr:colOff>
      <xdr:row>16</xdr:row>
      <xdr:rowOff>161925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685800</xdr:colOff>
      <xdr:row>0</xdr:row>
      <xdr:rowOff>2762250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22</xdr:col>
      <xdr:colOff>685800</xdr:colOff>
      <xdr:row>0</xdr:row>
      <xdr:rowOff>3714750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1000125</xdr:colOff>
      <xdr:row>15</xdr:row>
      <xdr:rowOff>76200</xdr:rowOff>
    </xdr:from>
    <xdr:ext cx="9505950" cy="61626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d-wellness.com/" TargetMode="External"/><Relationship Id="rId2" Type="http://schemas.openxmlformats.org/officeDocument/2006/relationships/hyperlink" Target="https://atoncenter.com/" TargetMode="External"/><Relationship Id="rId3" Type="http://schemas.openxmlformats.org/officeDocument/2006/relationships/hyperlink" Target="https://casapalmera.com/" TargetMode="External"/><Relationship Id="rId4" Type="http://schemas.openxmlformats.org/officeDocument/2006/relationships/hyperlink" Target="https://villaoasissandiego.com/" TargetMode="External"/><Relationship Id="rId11" Type="http://schemas.openxmlformats.org/officeDocument/2006/relationships/drawing" Target="../drawings/drawing1.xml"/><Relationship Id="rId10" Type="http://schemas.openxmlformats.org/officeDocument/2006/relationships/hyperlink" Target="https://lajollarecovery.com/" TargetMode="External"/><Relationship Id="rId9" Type="http://schemas.openxmlformats.org/officeDocument/2006/relationships/hyperlink" Target="https://www.newdirectionsforwomen.org/" TargetMode="External"/><Relationship Id="rId5" Type="http://schemas.openxmlformats.org/officeDocument/2006/relationships/hyperlink" Target="https://lilacrecoverycenter.com/" TargetMode="External"/><Relationship Id="rId6" Type="http://schemas.openxmlformats.org/officeDocument/2006/relationships/hyperlink" Target="https://immersiverecovery.com/" TargetMode="External"/><Relationship Id="rId7" Type="http://schemas.openxmlformats.org/officeDocument/2006/relationships/hyperlink" Target="https://www.shorelinerecoverycenter.com/" TargetMode="External"/><Relationship Id="rId8" Type="http://schemas.openxmlformats.org/officeDocument/2006/relationships/hyperlink" Target="https://steppingstonesd.org/"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kheperahouse.org/" TargetMode="External"/><Relationship Id="rId10" Type="http://schemas.openxmlformats.org/officeDocument/2006/relationships/hyperlink" Target="https://passagesventura.com/" TargetMode="External"/><Relationship Id="rId13" Type="http://schemas.openxmlformats.org/officeDocument/2006/relationships/hyperlink" Target="https://www.pointbreakrecovery.com/" TargetMode="External"/><Relationship Id="rId12" Type="http://schemas.openxmlformats.org/officeDocument/2006/relationships/hyperlink" Target="https://www.monarchrecoverygroup.com/" TargetMode="External"/><Relationship Id="rId1" Type="http://schemas.openxmlformats.org/officeDocument/2006/relationships/hyperlink" Target="https://www.godaddy.com/en-ca/offers/whois-b?isc=sem3year&amp;countryview=1&amp;currencyType=CAD&amp;cdtl=c_17622821646.g_137929239803.k_kwd-107839717.a_730288095259.d_c.ctv_g&amp;bnb=nb&amp;gad_source=1&amp;gad_campaignid=17622821646&amp;gbraid=0AAAAAD_AGdz_bs8sw-S79uv0QB68SzQ5N&amp;gclid=CjwKCAjw3tzHBhBREiwAlMJoUt8wWJ2PfZwSJJA_j-jmglrBMghfY0kxFTRiTlA5jDPHuU4xvvpHeRoCwD0QAvD_BwE" TargetMode="External"/><Relationship Id="rId2" Type="http://schemas.openxmlformats.org/officeDocument/2006/relationships/hyperlink" Target="https://web.archive.org/" TargetMode="External"/><Relationship Id="rId3" Type="http://schemas.openxmlformats.org/officeDocument/2006/relationships/hyperlink" Target="https://app.ahrefs.com/v2-batch-analysis" TargetMode="External"/><Relationship Id="rId4" Type="http://schemas.openxmlformats.org/officeDocument/2006/relationships/hyperlink" Target="https://app.ahrefs.com/site-explorer" TargetMode="External"/><Relationship Id="rId9" Type="http://schemas.openxmlformats.org/officeDocument/2006/relationships/hyperlink" Target="https://venturarecoverycenter.com/" TargetMode="External"/><Relationship Id="rId15" Type="http://schemas.openxmlformats.org/officeDocument/2006/relationships/drawing" Target="../drawings/drawing2.xml"/><Relationship Id="rId14" Type="http://schemas.openxmlformats.org/officeDocument/2006/relationships/hyperlink" Target="https://kokuaventura.com/" TargetMode="External"/><Relationship Id="rId5" Type="http://schemas.openxmlformats.org/officeDocument/2006/relationships/hyperlink" Target="https://ojairecovery.com/" TargetMode="External"/><Relationship Id="rId6" Type="http://schemas.openxmlformats.org/officeDocument/2006/relationships/hyperlink" Target="https://camarillohealthcare.com/" TargetMode="External"/><Relationship Id="rId7" Type="http://schemas.openxmlformats.org/officeDocument/2006/relationships/hyperlink" Target="https://altituderecovery.com/" TargetMode="External"/><Relationship Id="rId8" Type="http://schemas.openxmlformats.org/officeDocument/2006/relationships/hyperlink" Target="https://wildwoodrecovery.com/"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ildwoodrecovery.com/" TargetMode="External"/><Relationship Id="rId10" Type="http://schemas.openxmlformats.org/officeDocument/2006/relationships/hyperlink" Target="https://www.monarchrecoverygroup.com/" TargetMode="External"/><Relationship Id="rId13" Type="http://schemas.openxmlformats.org/officeDocument/2006/relationships/hyperlink" Target="https://venturarecoverycenter.com/" TargetMode="External"/><Relationship Id="rId12" Type="http://schemas.openxmlformats.org/officeDocument/2006/relationships/hyperlink" Target="https://passagesventura.com/" TargetMode="External"/><Relationship Id="rId1" Type="http://schemas.openxmlformats.org/officeDocument/2006/relationships/hyperlink" Target="https://www.godaddy.com/en-ca/offers/whois-b?isc=sem3year&amp;countryview=1&amp;currencyType=CAD&amp;cdtl=c_17622821646.g_137929239803.k_kwd-107839717.a_730288095259.d_c.ctv_g&amp;bnb=nb&amp;gad_source=1&amp;gad_campaignid=17622821646&amp;gbraid=0AAAAAD_AGdz_bs8sw-S79uv0QB68SzQ5N&amp;gclid=CjwKCAjw3tzHBhBREiwAlMJoUt8wWJ2PfZwSJJA_j-jmglrBMghfY0kxFTRiTlA5jDPHuU4xvvpHeRoCwD0QAvD_BwE" TargetMode="External"/><Relationship Id="rId2" Type="http://schemas.openxmlformats.org/officeDocument/2006/relationships/hyperlink" Target="https://web.archive.org/" TargetMode="External"/><Relationship Id="rId3" Type="http://schemas.openxmlformats.org/officeDocument/2006/relationships/hyperlink" Target="https://app.ahrefs.com/v2-batch-analysis" TargetMode="External"/><Relationship Id="rId4" Type="http://schemas.openxmlformats.org/officeDocument/2006/relationships/hyperlink" Target="https://app.ahrefs.com/site-explorer" TargetMode="External"/><Relationship Id="rId9" Type="http://schemas.openxmlformats.org/officeDocument/2006/relationships/hyperlink" Target="https://kheperahouse.org/" TargetMode="External"/><Relationship Id="rId15" Type="http://schemas.openxmlformats.org/officeDocument/2006/relationships/drawing" Target="../drawings/drawing3.xml"/><Relationship Id="rId14" Type="http://schemas.openxmlformats.org/officeDocument/2006/relationships/hyperlink" Target="https://altituderecovery.com/" TargetMode="External"/><Relationship Id="rId5" Type="http://schemas.openxmlformats.org/officeDocument/2006/relationships/hyperlink" Target="https://kokuaventura.com/" TargetMode="External"/><Relationship Id="rId6" Type="http://schemas.openxmlformats.org/officeDocument/2006/relationships/hyperlink" Target="https://ojairecovery.com/" TargetMode="External"/><Relationship Id="rId7" Type="http://schemas.openxmlformats.org/officeDocument/2006/relationships/hyperlink" Target="https://www.pointbreakrecovery.com/" TargetMode="External"/><Relationship Id="rId8" Type="http://schemas.openxmlformats.org/officeDocument/2006/relationships/hyperlink" Target="https://camarillohealthcare.com/"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impactrecoverycenter.net/" TargetMode="External"/><Relationship Id="rId10" Type="http://schemas.openxmlformats.org/officeDocument/2006/relationships/hyperlink" Target="https://bradfordhealth.com/" TargetMode="External"/><Relationship Id="rId13" Type="http://schemas.openxmlformats.org/officeDocument/2006/relationships/hyperlink" Target="https://www.blueridgemountainrecovery.com/" TargetMode="External"/><Relationship Id="rId12" Type="http://schemas.openxmlformats.org/officeDocument/2006/relationships/hyperlink" Target="https://www.longleafcenters.com/" TargetMode="External"/><Relationship Id="rId1" Type="http://schemas.openxmlformats.org/officeDocument/2006/relationships/hyperlink" Target="https://www.godaddy.com/en-ca/offers/whois-b?isc=sem3year&amp;countryview=1&amp;currencyType=CAD&amp;cdtl=c_17622821646.g_137929239803.k_kwd-107839717.a_730288095259.d_c.ctv_g&amp;bnb=nb&amp;gad_source=1&amp;gad_campaignid=17622821646&amp;gbraid=0AAAAAD_AGdz_bs8sw-S79uv0QB68SzQ5N&amp;gclid=CjwKCAjw3tzHBhBREiwAlMJoUt8wWJ2PfZwSJJA_j-jmglrBMghfY0kxFTRiTlA5jDPHuU4xvvpHeRoCwD0QAvD_BwE" TargetMode="External"/><Relationship Id="rId2" Type="http://schemas.openxmlformats.org/officeDocument/2006/relationships/hyperlink" Target="https://web.archive.org/" TargetMode="External"/><Relationship Id="rId3" Type="http://schemas.openxmlformats.org/officeDocument/2006/relationships/hyperlink" Target="https://app.ahrefs.com/v2-batch-analysis" TargetMode="External"/><Relationship Id="rId4" Type="http://schemas.openxmlformats.org/officeDocument/2006/relationships/hyperlink" Target="https://app.ahrefs.com/site-explorer" TargetMode="External"/><Relationship Id="rId9" Type="http://schemas.openxmlformats.org/officeDocument/2006/relationships/hyperlink" Target="https://thoroughbredbhc.com/" TargetMode="External"/><Relationship Id="rId15" Type="http://schemas.openxmlformats.org/officeDocument/2006/relationships/drawing" Target="../drawings/drawing4.xml"/><Relationship Id="rId14" Type="http://schemas.openxmlformats.org/officeDocument/2006/relationships/hyperlink" Target="https://www.ridgeviewinstitute.com/" TargetMode="External"/><Relationship Id="rId5" Type="http://schemas.openxmlformats.org/officeDocument/2006/relationships/hyperlink" Target="https://fshbhm.org/" TargetMode="External"/><Relationship Id="rId6" Type="http://schemas.openxmlformats.org/officeDocument/2006/relationships/hyperlink" Target="https://experiencethereprieve.com/" TargetMode="External"/><Relationship Id="rId7" Type="http://schemas.openxmlformats.org/officeDocument/2006/relationships/hyperlink" Target="https://blackbearrehab.com/" TargetMode="External"/><Relationship Id="rId8" Type="http://schemas.openxmlformats.org/officeDocument/2006/relationships/hyperlink" Target="https://talbottcampus.com/" TargetMode="External"/></Relationships>
</file>

<file path=xl/worksheets/_rels/sheet5.xml.rels><?xml version="1.0" encoding="UTF-8" standalone="yes"?><Relationships xmlns="http://schemas.openxmlformats.org/package/2006/relationships"><Relationship Id="rId190" Type="http://schemas.openxmlformats.org/officeDocument/2006/relationships/hyperlink" Target="https://ojairecovery.com/drug-rehab-programs/" TargetMode="External"/><Relationship Id="rId194" Type="http://schemas.openxmlformats.org/officeDocument/2006/relationships/hyperlink" Target="https://ojairecovery.com/drug-rehabs-near-me/" TargetMode="External"/><Relationship Id="rId193" Type="http://schemas.openxmlformats.org/officeDocument/2006/relationships/hyperlink" Target="https://ojairecovery.com/addictions-treated/drug-addiction-treatment" TargetMode="External"/><Relationship Id="rId192" Type="http://schemas.openxmlformats.org/officeDocument/2006/relationships/hyperlink" Target="https://ojairecovery.com/drug-rehabs-near-me/" TargetMode="External"/><Relationship Id="rId191" Type="http://schemas.openxmlformats.org/officeDocument/2006/relationships/hyperlink" Target="https://ojairecovery.com/drug-rehab-programs/" TargetMode="External"/><Relationship Id="rId187" Type="http://schemas.openxmlformats.org/officeDocument/2006/relationships/hyperlink" Target="https://ojairecovery.com/drug-rehab-near-me/" TargetMode="External"/><Relationship Id="rId186" Type="http://schemas.openxmlformats.org/officeDocument/2006/relationships/hyperlink" Target="https://ojairecovery.com/drug-rehab-near-me/" TargetMode="External"/><Relationship Id="rId185" Type="http://schemas.openxmlformats.org/officeDocument/2006/relationships/hyperlink" Target="https://ojairecovery.com/addictions-treated/drug-addiction-treatment" TargetMode="External"/><Relationship Id="rId184" Type="http://schemas.openxmlformats.org/officeDocument/2006/relationships/hyperlink" Target="https://ojairecovery.com/drug-rehab-near-me/" TargetMode="External"/><Relationship Id="rId189" Type="http://schemas.openxmlformats.org/officeDocument/2006/relationships/hyperlink" Target="https://ojairecovery.com/addictions-treated/drug-addiction-treatment" TargetMode="External"/><Relationship Id="rId188" Type="http://schemas.openxmlformats.org/officeDocument/2006/relationships/hyperlink" Target="https://ojairecovery.com/drug-rehab-programs/" TargetMode="External"/><Relationship Id="rId183" Type="http://schemas.openxmlformats.org/officeDocument/2006/relationships/hyperlink" Target="https://ojairecovery.com/drug-rehab-in-ventura-county-ca-local-treatment-paths/" TargetMode="External"/><Relationship Id="rId182" Type="http://schemas.openxmlformats.org/officeDocument/2006/relationships/hyperlink" Target="https://ojairecovery.com/drug-rehab-in-ventura-county-ca-local-treatment-paths/" TargetMode="External"/><Relationship Id="rId181" Type="http://schemas.openxmlformats.org/officeDocument/2006/relationships/hyperlink" Target="https://ojairecovery.com/addictions-treated/drug-addiction-treatment" TargetMode="External"/><Relationship Id="rId180" Type="http://schemas.openxmlformats.org/officeDocument/2006/relationships/hyperlink" Target="https://ojairecovery.com/drug-rehab-in-ventura-county-ca-local-treatment-paths/" TargetMode="External"/><Relationship Id="rId176" Type="http://schemas.openxmlformats.org/officeDocument/2006/relationships/hyperlink" Target="https://ojairecovery.com/drug-rehab-facilities/" TargetMode="External"/><Relationship Id="rId297" Type="http://schemas.openxmlformats.org/officeDocument/2006/relationships/hyperlink" Target="https://ojairecovery.com/malibu-drug-rehab-why-many-residents-choose-ojai-recovery/" TargetMode="External"/><Relationship Id="rId175" Type="http://schemas.openxmlformats.org/officeDocument/2006/relationships/hyperlink" Target="https://ojairecovery.com/drug-rehab-facilities-near-me/" TargetMode="External"/><Relationship Id="rId296" Type="http://schemas.openxmlformats.org/officeDocument/2006/relationships/hyperlink" Target="https://ojairecovery.com/addictions-treated/drug-addiction-treatment" TargetMode="External"/><Relationship Id="rId174" Type="http://schemas.openxmlformats.org/officeDocument/2006/relationships/hyperlink" Target="https://ojairecovery.com/drug-rehab-facilities-near-me/" TargetMode="External"/><Relationship Id="rId295" Type="http://schemas.openxmlformats.org/officeDocument/2006/relationships/hyperlink" Target="https://ojairecovery.com/malibu-drug-rehab-why-many-residents-choose-ojai-recovery/" TargetMode="External"/><Relationship Id="rId173" Type="http://schemas.openxmlformats.org/officeDocument/2006/relationships/hyperlink" Target="https://ojairecovery.com/addictions-treated/drug-addiction-treatment" TargetMode="External"/><Relationship Id="rId294" Type="http://schemas.openxmlformats.org/officeDocument/2006/relationships/hyperlink" Target="https://ojairecovery.com/malibu-alcohol-treatment-luxury-and-evidence-based-care-combined/" TargetMode="External"/><Relationship Id="rId179" Type="http://schemas.openxmlformats.org/officeDocument/2006/relationships/hyperlink" Target="https://ojairecovery.com/drug-rehab-facilities/" TargetMode="External"/><Relationship Id="rId178" Type="http://schemas.openxmlformats.org/officeDocument/2006/relationships/hyperlink" Target="https://ojairecovery.com/drug-rehab-facilities/" TargetMode="External"/><Relationship Id="rId299" Type="http://schemas.openxmlformats.org/officeDocument/2006/relationships/hyperlink" Target="https://ojairecovery.com/marijuana-use-disorder-treatment/" TargetMode="External"/><Relationship Id="rId177" Type="http://schemas.openxmlformats.org/officeDocument/2006/relationships/hyperlink" Target="https://ojairecovery.com/addictions-treated/drug-addiction-treatment" TargetMode="External"/><Relationship Id="rId298" Type="http://schemas.openxmlformats.org/officeDocument/2006/relationships/hyperlink" Target="https://ojairecovery.com/malibu-drug-rehab-why-many-residents-choose-ojai-recovery/" TargetMode="External"/><Relationship Id="rId198" Type="http://schemas.openxmlformats.org/officeDocument/2006/relationships/hyperlink" Target="https://ojairecovery.com/expressive-arts-yoga-meditation/" TargetMode="External"/><Relationship Id="rId197" Type="http://schemas.openxmlformats.org/officeDocument/2006/relationships/hyperlink" Target="https://ojairecovery.com/expressive-arts-yoga-meditation/" TargetMode="External"/><Relationship Id="rId196" Type="http://schemas.openxmlformats.org/officeDocument/2006/relationships/hyperlink" Target="https://ojairecovery.com/expressive-arts-yoga-meditation/" TargetMode="External"/><Relationship Id="rId195" Type="http://schemas.openxmlformats.org/officeDocument/2006/relationships/hyperlink" Target="https://ojairecovery.com/drug-rehabs-near-me/" TargetMode="External"/><Relationship Id="rId199" Type="http://schemas.openxmlformats.org/officeDocument/2006/relationships/hyperlink" Target="https://ojairecovery.com/financial-assistance-for-rehab-in-california/" TargetMode="External"/><Relationship Id="rId150" Type="http://schemas.openxmlformats.org/officeDocument/2006/relationships/hyperlink" Target="https://ojairecovery.com/drug-detox-at-home/" TargetMode="External"/><Relationship Id="rId271" Type="http://schemas.openxmlformats.org/officeDocument/2006/relationships/hyperlink" Target="https://ojairecovery.com/insurance-verification-process-for-addiction-treatment/" TargetMode="External"/><Relationship Id="rId392" Type="http://schemas.openxmlformats.org/officeDocument/2006/relationships/hyperlink" Target="https://ojairecovery.com/outpatient-rehab/" TargetMode="External"/><Relationship Id="rId270" Type="http://schemas.openxmlformats.org/officeDocument/2006/relationships/hyperlink" Target="https://ojairecovery.com/insurance-verification-process-for-addiction-treatment/" TargetMode="External"/><Relationship Id="rId391" Type="http://schemas.openxmlformats.org/officeDocument/2006/relationships/hyperlink" Target="https://ojairecovery.com/outpatient-rehab/" TargetMode="External"/><Relationship Id="rId390" Type="http://schemas.openxmlformats.org/officeDocument/2006/relationships/hyperlink" Target="https://ojairecovery.com/outpatient-rehab/" TargetMode="External"/><Relationship Id="rId1" Type="http://schemas.openxmlformats.org/officeDocument/2006/relationships/hyperlink" Target="https://ojairecovery.com/" TargetMode="External"/><Relationship Id="rId2" Type="http://schemas.openxmlformats.org/officeDocument/2006/relationships/hyperlink" Target="https://ojairecovery.com/" TargetMode="External"/><Relationship Id="rId3" Type="http://schemas.openxmlformats.org/officeDocument/2006/relationships/hyperlink" Target="https://ojairecovery.com/" TargetMode="External"/><Relationship Id="rId149" Type="http://schemas.openxmlformats.org/officeDocument/2006/relationships/hyperlink" Target="https://ojairecovery.com/detox-services/drug-detox/" TargetMode="External"/><Relationship Id="rId4" Type="http://schemas.openxmlformats.org/officeDocument/2006/relationships/hyperlink" Target="https://ojairecovery.com/about-us/" TargetMode="External"/><Relationship Id="rId148" Type="http://schemas.openxmlformats.org/officeDocument/2006/relationships/hyperlink" Target="https://ojairecovery.com/drug-detox-at-home/" TargetMode="External"/><Relationship Id="rId269" Type="http://schemas.openxmlformats.org/officeDocument/2006/relationships/hyperlink" Target="https://ojairecovery.com/insurance-verification-process-for-addiction-treatment/" TargetMode="External"/><Relationship Id="rId9" Type="http://schemas.openxmlformats.org/officeDocument/2006/relationships/hyperlink" Target="https://ojairecovery.com/addiction-treatment-payment-options-and-insurance/" TargetMode="External"/><Relationship Id="rId143" Type="http://schemas.openxmlformats.org/officeDocument/2006/relationships/hyperlink" Target="https://ojairecovery.com/does-insurance-pay-for-trauma-treatment/" TargetMode="External"/><Relationship Id="rId264" Type="http://schemas.openxmlformats.org/officeDocument/2006/relationships/hyperlink" Target="https://ojairecovery.com/insurance-for-executive-and-luxury-rehab-programs/" TargetMode="External"/><Relationship Id="rId385" Type="http://schemas.openxmlformats.org/officeDocument/2006/relationships/hyperlink" Target="https://ojairecovery.com/outpatient-rehab-centers/" TargetMode="External"/><Relationship Id="rId142" Type="http://schemas.openxmlformats.org/officeDocument/2006/relationships/hyperlink" Target="https://ojairecovery.com/does-insurance-pay-for-trauma-treatment/" TargetMode="External"/><Relationship Id="rId263" Type="http://schemas.openxmlformats.org/officeDocument/2006/relationships/hyperlink" Target="https://ojairecovery.com/insurance-for-executive-and-luxury-rehab-programs/" TargetMode="External"/><Relationship Id="rId384" Type="http://schemas.openxmlformats.org/officeDocument/2006/relationships/hyperlink" Target="https://ojairecovery.com/outpatient-rehab-centers/" TargetMode="External"/><Relationship Id="rId141" Type="http://schemas.openxmlformats.org/officeDocument/2006/relationships/hyperlink" Target="https://ojairecovery.com/does-insurance-cover-holistic-addiction-treatment/" TargetMode="External"/><Relationship Id="rId262" Type="http://schemas.openxmlformats.org/officeDocument/2006/relationships/hyperlink" Target="https://ojairecovery.com/insurance-accepted-for-inpatient-addiction-treatment/" TargetMode="External"/><Relationship Id="rId383" Type="http://schemas.openxmlformats.org/officeDocument/2006/relationships/hyperlink" Target="https://ojairecovery.com/outpatient-drug-rehab/" TargetMode="External"/><Relationship Id="rId140" Type="http://schemas.openxmlformats.org/officeDocument/2006/relationships/hyperlink" Target="https://ojairecovery.com/does-insurance-cover-holistic-addiction-treatment/" TargetMode="External"/><Relationship Id="rId261" Type="http://schemas.openxmlformats.org/officeDocument/2006/relationships/hyperlink" Target="https://ojairecovery.com/insurance-accepted-for-inpatient-addiction-treatment/" TargetMode="External"/><Relationship Id="rId382" Type="http://schemas.openxmlformats.org/officeDocument/2006/relationships/hyperlink" Target="https://ojairecovery.com/outpatient-drug-rehab/" TargetMode="External"/><Relationship Id="rId5" Type="http://schemas.openxmlformats.org/officeDocument/2006/relationships/hyperlink" Target="https://ojairecovery.com/about-us/" TargetMode="External"/><Relationship Id="rId147" Type="http://schemas.openxmlformats.org/officeDocument/2006/relationships/hyperlink" Target="https://ojairecovery.com/does-rehab-count-toward-out-of-pocket-maximum/" TargetMode="External"/><Relationship Id="rId268" Type="http://schemas.openxmlformats.org/officeDocument/2006/relationships/hyperlink" Target="https://ojairecovery.com/insurance-for-long-term-residential-treatment-programs/" TargetMode="External"/><Relationship Id="rId389" Type="http://schemas.openxmlformats.org/officeDocument/2006/relationships/hyperlink" Target="https://ojairecovery.com/outpatient-rehab-near-me/" TargetMode="External"/><Relationship Id="rId6" Type="http://schemas.openxmlformats.org/officeDocument/2006/relationships/hyperlink" Target="https://ojairecovery.com/about-us/" TargetMode="External"/><Relationship Id="rId146" Type="http://schemas.openxmlformats.org/officeDocument/2006/relationships/hyperlink" Target="https://ojairecovery.com/does-rehab-count-toward-out-of-pocket-maximum/" TargetMode="External"/><Relationship Id="rId267" Type="http://schemas.openxmlformats.org/officeDocument/2006/relationships/hyperlink" Target="https://ojairecovery.com/insurance-for-long-term-residential-treatment-programs/" TargetMode="External"/><Relationship Id="rId388" Type="http://schemas.openxmlformats.org/officeDocument/2006/relationships/hyperlink" Target="https://ojairecovery.com/outpatient-rehab-near-me/" TargetMode="External"/><Relationship Id="rId7" Type="http://schemas.openxmlformats.org/officeDocument/2006/relationships/hyperlink" Target="https://ojairecovery.com/addiction-treatment-payment-options-and-insurance/" TargetMode="External"/><Relationship Id="rId145" Type="http://schemas.openxmlformats.org/officeDocument/2006/relationships/hyperlink" Target="https://ojairecovery.com/does-rehab-count-toward-out-of-pocket-maximum/" TargetMode="External"/><Relationship Id="rId266" Type="http://schemas.openxmlformats.org/officeDocument/2006/relationships/hyperlink" Target="https://ojairecovery.com/insurance-for-long-term-residential-treatment-programs/" TargetMode="External"/><Relationship Id="rId387" Type="http://schemas.openxmlformats.org/officeDocument/2006/relationships/hyperlink" Target="https://ojairecovery.com/outpatient-rehab-near-me/" TargetMode="External"/><Relationship Id="rId8" Type="http://schemas.openxmlformats.org/officeDocument/2006/relationships/hyperlink" Target="https://ojairecovery.com/addiction-treatment-payment-options-and-insurance/" TargetMode="External"/><Relationship Id="rId144" Type="http://schemas.openxmlformats.org/officeDocument/2006/relationships/hyperlink" Target="https://ojairecovery.com/does-insurance-pay-for-trauma-treatment/" TargetMode="External"/><Relationship Id="rId265" Type="http://schemas.openxmlformats.org/officeDocument/2006/relationships/hyperlink" Target="https://ojairecovery.com/insurance-for-executive-and-luxury-rehab-programs/" TargetMode="External"/><Relationship Id="rId386" Type="http://schemas.openxmlformats.org/officeDocument/2006/relationships/hyperlink" Target="https://ojairecovery.com/outpatient-rehab-centers/" TargetMode="External"/><Relationship Id="rId260" Type="http://schemas.openxmlformats.org/officeDocument/2006/relationships/hyperlink" Target="https://ojairecovery.com/insurance-accepted-for-inpatient-addiction-treatment/" TargetMode="External"/><Relationship Id="rId381" Type="http://schemas.openxmlformats.org/officeDocument/2006/relationships/hyperlink" Target="https://ojairecovery.com/addictions-treated/drug-addiction-treatment" TargetMode="External"/><Relationship Id="rId380" Type="http://schemas.openxmlformats.org/officeDocument/2006/relationships/hyperlink" Target="https://ojairecovery.com/outpatient-drug-rehab/" TargetMode="External"/><Relationship Id="rId139" Type="http://schemas.openxmlformats.org/officeDocument/2006/relationships/hyperlink" Target="https://ojairecovery.com/does-insurance-cover-holistic-addiction-treatment/" TargetMode="External"/><Relationship Id="rId138" Type="http://schemas.openxmlformats.org/officeDocument/2006/relationships/hyperlink" Target="https://ojairecovery.com/does-insurance-cover-family-therapy-during-rehab/" TargetMode="External"/><Relationship Id="rId259" Type="http://schemas.openxmlformats.org/officeDocument/2006/relationships/hyperlink" Target="https://ojairecovery.com/inpatient-vs-outpatient/" TargetMode="External"/><Relationship Id="rId137" Type="http://schemas.openxmlformats.org/officeDocument/2006/relationships/hyperlink" Target="https://ojairecovery.com/does-insurance-cover-family-therapy-during-rehab/" TargetMode="External"/><Relationship Id="rId258" Type="http://schemas.openxmlformats.org/officeDocument/2006/relationships/hyperlink" Target="https://ojairecovery.com/inpatient-vs-outpatient/" TargetMode="External"/><Relationship Id="rId379" Type="http://schemas.openxmlformats.org/officeDocument/2006/relationships/hyperlink" Target="https://ojairecovery.com/outpatient-drug-rehab-services-near-me/" TargetMode="External"/><Relationship Id="rId132" Type="http://schemas.openxmlformats.org/officeDocument/2006/relationships/hyperlink" Target="https://ojairecovery.com/does-blue-cross-blue-shield-cover-rehab/" TargetMode="External"/><Relationship Id="rId253" Type="http://schemas.openxmlformats.org/officeDocument/2006/relationships/hyperlink" Target="https://ojairecovery.com/inpatient-rehabs/" TargetMode="External"/><Relationship Id="rId374" Type="http://schemas.openxmlformats.org/officeDocument/2006/relationships/hyperlink" Target="https://ojairecovery.com/outpatient-drug-rehab-near-me/" TargetMode="External"/><Relationship Id="rId495" Type="http://schemas.openxmlformats.org/officeDocument/2006/relationships/hyperlink" Target="https://ojairecovery.com/tag/residential-treatment-near-malibu/" TargetMode="External"/><Relationship Id="rId131" Type="http://schemas.openxmlformats.org/officeDocument/2006/relationships/hyperlink" Target="https://ojairecovery.com/does-blue-cross-blue-shield-cover-rehab/" TargetMode="External"/><Relationship Id="rId252" Type="http://schemas.openxmlformats.org/officeDocument/2006/relationships/hyperlink" Target="https://ojairecovery.com/inpatient-rehabs-near-me/" TargetMode="External"/><Relationship Id="rId373" Type="http://schemas.openxmlformats.org/officeDocument/2006/relationships/hyperlink" Target="https://ojairecovery.com/addictions-treated/drug-addiction-treatment" TargetMode="External"/><Relationship Id="rId494" Type="http://schemas.openxmlformats.org/officeDocument/2006/relationships/hyperlink" Target="https://ojairecovery.com/tag/residential-addiction-treatment-in-ojai/" TargetMode="External"/><Relationship Id="rId130" Type="http://schemas.openxmlformats.org/officeDocument/2006/relationships/hyperlink" Target="https://ojairecovery.com/does-blue-cross-blue-shield-cover-rehab/" TargetMode="External"/><Relationship Id="rId251" Type="http://schemas.openxmlformats.org/officeDocument/2006/relationships/hyperlink" Target="https://ojairecovery.com/inpatient-rehabs-near-me/" TargetMode="External"/><Relationship Id="rId372" Type="http://schemas.openxmlformats.org/officeDocument/2006/relationships/hyperlink" Target="https://ojairecovery.com/outpatient-drug-rehab-near-me/" TargetMode="External"/><Relationship Id="rId493" Type="http://schemas.openxmlformats.org/officeDocument/2006/relationships/hyperlink" Target="https://ojairecovery.com/tag/residential-addiction-treatment-in-ojai/" TargetMode="External"/><Relationship Id="rId250" Type="http://schemas.openxmlformats.org/officeDocument/2006/relationships/hyperlink" Target="https://ojairecovery.com/residential-treatment/" TargetMode="External"/><Relationship Id="rId371" Type="http://schemas.openxmlformats.org/officeDocument/2006/relationships/hyperlink" Target="https://ojairecovery.com/outpatient-drug-rehab-centers/" TargetMode="External"/><Relationship Id="rId492" Type="http://schemas.openxmlformats.org/officeDocument/2006/relationships/hyperlink" Target="https://ojairecovery.com/tag/ojai-alcohol-detox/" TargetMode="External"/><Relationship Id="rId136" Type="http://schemas.openxmlformats.org/officeDocument/2006/relationships/hyperlink" Target="https://ojairecovery.com/does-insurance-cover-family-therapy-during-rehab/" TargetMode="External"/><Relationship Id="rId257" Type="http://schemas.openxmlformats.org/officeDocument/2006/relationships/hyperlink" Target="https://ojairecovery.com/inpatient-vs-outpatient/" TargetMode="External"/><Relationship Id="rId378" Type="http://schemas.openxmlformats.org/officeDocument/2006/relationships/hyperlink" Target="https://ojairecovery.com/outpatient-drug-rehab-services-near-me/" TargetMode="External"/><Relationship Id="rId499" Type="http://schemas.openxmlformats.org/officeDocument/2006/relationships/hyperlink" Target="https://ojairecovery.com/terms-of-use/" TargetMode="External"/><Relationship Id="rId135" Type="http://schemas.openxmlformats.org/officeDocument/2006/relationships/hyperlink" Target="https://ojairecovery.com/does-insurance-cover-dual-diagnosis-treatment/" TargetMode="External"/><Relationship Id="rId256" Type="http://schemas.openxmlformats.org/officeDocument/2006/relationships/hyperlink" Target="https://ojairecovery.com/inpatient-rehabs/" TargetMode="External"/><Relationship Id="rId377" Type="http://schemas.openxmlformats.org/officeDocument/2006/relationships/hyperlink" Target="https://ojairecovery.com/addictions-treated/drug-addiction-treatment" TargetMode="External"/><Relationship Id="rId498" Type="http://schemas.openxmlformats.org/officeDocument/2006/relationships/hyperlink" Target="https://ojairecovery.com/terms-of-use/" TargetMode="External"/><Relationship Id="rId134" Type="http://schemas.openxmlformats.org/officeDocument/2006/relationships/hyperlink" Target="https://ojairecovery.com/does-insurance-cover-dual-diagnosis-treatment/" TargetMode="External"/><Relationship Id="rId255" Type="http://schemas.openxmlformats.org/officeDocument/2006/relationships/hyperlink" Target="https://ojairecovery.com/inpatient-rehabs/" TargetMode="External"/><Relationship Id="rId376" Type="http://schemas.openxmlformats.org/officeDocument/2006/relationships/hyperlink" Target="https://ojairecovery.com/outpatient-drug-rehab-services-near-me/" TargetMode="External"/><Relationship Id="rId497" Type="http://schemas.openxmlformats.org/officeDocument/2006/relationships/hyperlink" Target="https://ojairecovery.com/terms-of-use/" TargetMode="External"/><Relationship Id="rId133" Type="http://schemas.openxmlformats.org/officeDocument/2006/relationships/hyperlink" Target="https://ojairecovery.com/does-insurance-cover-dual-diagnosis-treatment/" TargetMode="External"/><Relationship Id="rId254" Type="http://schemas.openxmlformats.org/officeDocument/2006/relationships/hyperlink" Target="https://ojairecovery.com/residential-treatment/" TargetMode="External"/><Relationship Id="rId375" Type="http://schemas.openxmlformats.org/officeDocument/2006/relationships/hyperlink" Target="https://ojairecovery.com/outpatient-drug-rehab-near-me/" TargetMode="External"/><Relationship Id="rId496" Type="http://schemas.openxmlformats.org/officeDocument/2006/relationships/hyperlink" Target="https://ojairecovery.com/tag/residential-treatment-near-malibu/" TargetMode="External"/><Relationship Id="rId172" Type="http://schemas.openxmlformats.org/officeDocument/2006/relationships/hyperlink" Target="https://ojairecovery.com/drug-rehab-facilities-near-me/" TargetMode="External"/><Relationship Id="rId293" Type="http://schemas.openxmlformats.org/officeDocument/2006/relationships/hyperlink" Target="https://ojairecovery.com/malibu-alcohol-treatment-luxury-and-evidence-based-care-combined/" TargetMode="External"/><Relationship Id="rId171" Type="http://schemas.openxmlformats.org/officeDocument/2006/relationships/hyperlink" Target="https://ojairecovery.com/drug-rehab-clinics/" TargetMode="External"/><Relationship Id="rId292" Type="http://schemas.openxmlformats.org/officeDocument/2006/relationships/hyperlink" Target="https://ojairecovery.com/alcohol-addiction-treatment/" TargetMode="External"/><Relationship Id="rId170" Type="http://schemas.openxmlformats.org/officeDocument/2006/relationships/hyperlink" Target="https://ojairecovery.com/drug-rehab-clinics/" TargetMode="External"/><Relationship Id="rId291" Type="http://schemas.openxmlformats.org/officeDocument/2006/relationships/hyperlink" Target="https://ojairecovery.com/malibu-alcohol-treatment-luxury-and-evidence-based-care-combined/" TargetMode="External"/><Relationship Id="rId290" Type="http://schemas.openxmlformats.org/officeDocument/2006/relationships/hyperlink" Target="https://ojairecovery.com/magellan-health-insurance-rehab-benefits/" TargetMode="External"/><Relationship Id="rId165" Type="http://schemas.openxmlformats.org/officeDocument/2006/relationships/hyperlink" Target="https://ojairecovery.com/addictions-treated/drug-addiction-treatment" TargetMode="External"/><Relationship Id="rId286" Type="http://schemas.openxmlformats.org/officeDocument/2006/relationships/hyperlink" Target="https://ojairecovery.com/luxury-and-evidence-based-alcohol-rehab-in-ventura-county-healing-in-comfort/" TargetMode="External"/><Relationship Id="rId164" Type="http://schemas.openxmlformats.org/officeDocument/2006/relationships/hyperlink" Target="https://ojairecovery.com/drug-rehab-centers/" TargetMode="External"/><Relationship Id="rId285" Type="http://schemas.openxmlformats.org/officeDocument/2006/relationships/hyperlink" Target="https://ojairecovery.com/alcohol-addiction-treatment/" TargetMode="External"/><Relationship Id="rId163" Type="http://schemas.openxmlformats.org/officeDocument/2006/relationships/hyperlink" Target="https://ojairecovery.com/drug-rehab-centers-near-me/" TargetMode="External"/><Relationship Id="rId284" Type="http://schemas.openxmlformats.org/officeDocument/2006/relationships/hyperlink" Target="https://ojairecovery.com/luxury-and-evidence-based-alcohol-rehab-in-ventura-county-healing-in-comfort/" TargetMode="External"/><Relationship Id="rId162" Type="http://schemas.openxmlformats.org/officeDocument/2006/relationships/hyperlink" Target="https://ojairecovery.com/drug-rehab-centers-near-me/" TargetMode="External"/><Relationship Id="rId283" Type="http://schemas.openxmlformats.org/officeDocument/2006/relationships/hyperlink" Target="https://ojairecovery.com/leadership-clinical-team/" TargetMode="External"/><Relationship Id="rId169" Type="http://schemas.openxmlformats.org/officeDocument/2006/relationships/hyperlink" Target="https://ojairecovery.com/addictions-treated/drug-addiction-treatment" TargetMode="External"/><Relationship Id="rId168" Type="http://schemas.openxmlformats.org/officeDocument/2006/relationships/hyperlink" Target="https://ojairecovery.com/drug-rehab-clinics/" TargetMode="External"/><Relationship Id="rId289" Type="http://schemas.openxmlformats.org/officeDocument/2006/relationships/hyperlink" Target="https://ojairecovery.com/magellan-health-insurance-rehab-benefits/" TargetMode="External"/><Relationship Id="rId167" Type="http://schemas.openxmlformats.org/officeDocument/2006/relationships/hyperlink" Target="https://ojairecovery.com/drug-rehab-centers/" TargetMode="External"/><Relationship Id="rId288" Type="http://schemas.openxmlformats.org/officeDocument/2006/relationships/hyperlink" Target="https://ojairecovery.com/magellan-health-insurance-rehab-benefits/" TargetMode="External"/><Relationship Id="rId166" Type="http://schemas.openxmlformats.org/officeDocument/2006/relationships/hyperlink" Target="https://ojairecovery.com/drug-rehab-centers/" TargetMode="External"/><Relationship Id="rId287" Type="http://schemas.openxmlformats.org/officeDocument/2006/relationships/hyperlink" Target="https://ojairecovery.com/luxury-and-evidence-based-alcohol-rehab-in-ventura-county-healing-in-comfort/" TargetMode="External"/><Relationship Id="rId161" Type="http://schemas.openxmlformats.org/officeDocument/2006/relationships/hyperlink" Target="https://ojairecovery.com/addictions-treated/drug-addiction-treatment" TargetMode="External"/><Relationship Id="rId282" Type="http://schemas.openxmlformats.org/officeDocument/2006/relationships/hyperlink" Target="https://ojairecovery.com/leadership-clinical-team/" TargetMode="External"/><Relationship Id="rId160" Type="http://schemas.openxmlformats.org/officeDocument/2006/relationships/hyperlink" Target="https://ojairecovery.com/drug-rehab-centers-near-me/" TargetMode="External"/><Relationship Id="rId281" Type="http://schemas.openxmlformats.org/officeDocument/2006/relationships/hyperlink" Target="https://ojairecovery.com/leadership-clinical-team/" TargetMode="External"/><Relationship Id="rId280" Type="http://schemas.openxmlformats.org/officeDocument/2006/relationships/hyperlink" Target="https://ojairecovery.com/kaiser-permanente-rehab-insurance-benefits/" TargetMode="External"/><Relationship Id="rId159" Type="http://schemas.openxmlformats.org/officeDocument/2006/relationships/hyperlink" Target="https://ojairecovery.com/drug-detox/" TargetMode="External"/><Relationship Id="rId154" Type="http://schemas.openxmlformats.org/officeDocument/2006/relationships/hyperlink" Target="https://ojairecovery.com/drug-detox-in-ojai-california-what-makes-it-unique/" TargetMode="External"/><Relationship Id="rId275" Type="http://schemas.openxmlformats.org/officeDocument/2006/relationships/hyperlink" Target="https://ojairecovery.com/is-mental-health-rehab-a-qualified-medical-expense/" TargetMode="External"/><Relationship Id="rId396" Type="http://schemas.openxmlformats.org/officeDocument/2006/relationships/hyperlink" Target="https://ojairecovery.com/outpatient-vs-inpatient/" TargetMode="External"/><Relationship Id="rId153" Type="http://schemas.openxmlformats.org/officeDocument/2006/relationships/hyperlink" Target="https://ojairecovery.com/detox-services/drug-detox/" TargetMode="External"/><Relationship Id="rId274" Type="http://schemas.openxmlformats.org/officeDocument/2006/relationships/hyperlink" Target="https://ojairecovery.com/integrated-addiction-mental-health-care/" TargetMode="External"/><Relationship Id="rId395" Type="http://schemas.openxmlformats.org/officeDocument/2006/relationships/hyperlink" Target="https://ojairecovery.com/outpatient-rehabs/" TargetMode="External"/><Relationship Id="rId152" Type="http://schemas.openxmlformats.org/officeDocument/2006/relationships/hyperlink" Target="https://ojairecovery.com/drug-detox-in-ojai-california-what-makes-it-unique/" TargetMode="External"/><Relationship Id="rId273" Type="http://schemas.openxmlformats.org/officeDocument/2006/relationships/hyperlink" Target="https://ojairecovery.com/integrated-addiction-mental-health-care/" TargetMode="External"/><Relationship Id="rId394" Type="http://schemas.openxmlformats.org/officeDocument/2006/relationships/hyperlink" Target="https://ojairecovery.com/outpatient-rehabs/" TargetMode="External"/><Relationship Id="rId151" Type="http://schemas.openxmlformats.org/officeDocument/2006/relationships/hyperlink" Target="https://ojairecovery.com/drug-detox-at-home/" TargetMode="External"/><Relationship Id="rId272" Type="http://schemas.openxmlformats.org/officeDocument/2006/relationships/hyperlink" Target="https://ojairecovery.com/integrated-addiction-mental-health-care/" TargetMode="External"/><Relationship Id="rId393" Type="http://schemas.openxmlformats.org/officeDocument/2006/relationships/hyperlink" Target="https://ojairecovery.com/outpatient-rehabs/" TargetMode="External"/><Relationship Id="rId158" Type="http://schemas.openxmlformats.org/officeDocument/2006/relationships/hyperlink" Target="https://ojairecovery.com/drug-detox/" TargetMode="External"/><Relationship Id="rId279" Type="http://schemas.openxmlformats.org/officeDocument/2006/relationships/hyperlink" Target="https://ojairecovery.com/kaiser-permanente-rehab-insurance-benefits/" TargetMode="External"/><Relationship Id="rId157" Type="http://schemas.openxmlformats.org/officeDocument/2006/relationships/hyperlink" Target="https://ojairecovery.com/detox-services/drug-detox/" TargetMode="External"/><Relationship Id="rId278" Type="http://schemas.openxmlformats.org/officeDocument/2006/relationships/hyperlink" Target="https://ojairecovery.com/kaiser-permanente-rehab-insurance-benefits/" TargetMode="External"/><Relationship Id="rId399" Type="http://schemas.openxmlformats.org/officeDocument/2006/relationships/hyperlink" Target="https://ojairecovery.com/outside-12-step-meetings/" TargetMode="External"/><Relationship Id="rId156" Type="http://schemas.openxmlformats.org/officeDocument/2006/relationships/hyperlink" Target="https://ojairecovery.com/drug-detox/" TargetMode="External"/><Relationship Id="rId277" Type="http://schemas.openxmlformats.org/officeDocument/2006/relationships/hyperlink" Target="https://ojairecovery.com/is-mental-health-rehab-a-qualified-medical-expense/" TargetMode="External"/><Relationship Id="rId398" Type="http://schemas.openxmlformats.org/officeDocument/2006/relationships/hyperlink" Target="https://ojairecovery.com/outpatient-vs-inpatient/" TargetMode="External"/><Relationship Id="rId155" Type="http://schemas.openxmlformats.org/officeDocument/2006/relationships/hyperlink" Target="https://ojairecovery.com/drug-detox-in-ojai-california-what-makes-it-unique/" TargetMode="External"/><Relationship Id="rId276" Type="http://schemas.openxmlformats.org/officeDocument/2006/relationships/hyperlink" Target="https://ojairecovery.com/is-mental-health-rehab-a-qualified-medical-expense/" TargetMode="External"/><Relationship Id="rId397" Type="http://schemas.openxmlformats.org/officeDocument/2006/relationships/hyperlink" Target="https://ojairecovery.com/outpatient-vs-inpatient/" TargetMode="External"/><Relationship Id="rId40" Type="http://schemas.openxmlformats.org/officeDocument/2006/relationships/hyperlink" Target="https://ojairecovery.com/alcohol-rehab-centers/" TargetMode="External"/><Relationship Id="rId42" Type="http://schemas.openxmlformats.org/officeDocument/2006/relationships/hyperlink" Target="https://ojairecovery.com/alcohol-rehab-facilities-near-me/" TargetMode="External"/><Relationship Id="rId41" Type="http://schemas.openxmlformats.org/officeDocument/2006/relationships/hyperlink" Target="https://ojairecovery.com/alcohol-rehab-centers/" TargetMode="External"/><Relationship Id="rId44" Type="http://schemas.openxmlformats.org/officeDocument/2006/relationships/hyperlink" Target="https://ojairecovery.com/alcohol-rehab-facilities-near-me/" TargetMode="External"/><Relationship Id="rId43" Type="http://schemas.openxmlformats.org/officeDocument/2006/relationships/hyperlink" Target="https://ojairecovery.com/alcohol-addiction-treatment/" TargetMode="External"/><Relationship Id="rId46" Type="http://schemas.openxmlformats.org/officeDocument/2006/relationships/hyperlink" Target="https://ojairecovery.com/alcohol-rehab-in-ventura-county-healing-the-mind-body-and-spirit-at-ojai-recovery/" TargetMode="External"/><Relationship Id="rId45" Type="http://schemas.openxmlformats.org/officeDocument/2006/relationships/hyperlink" Target="https://ojairecovery.com/alcohol-rehab-facilities-near-me/" TargetMode="External"/><Relationship Id="rId509" Type="http://schemas.openxmlformats.org/officeDocument/2006/relationships/hyperlink" Target="https://ojairecovery.com/thousand-oaks-drug-rehab-why-clients-travel-to-ojai-for-recovery/" TargetMode="External"/><Relationship Id="rId508" Type="http://schemas.openxmlformats.org/officeDocument/2006/relationships/hyperlink" Target="https://ojairecovery.com/therapies-experiences/" TargetMode="External"/><Relationship Id="rId503" Type="http://schemas.openxmlformats.org/officeDocument/2006/relationships/hyperlink" Target="https://ojairecovery.com/the-difference-between-drug-detox-and-residential-rehab/" TargetMode="External"/><Relationship Id="rId502" Type="http://schemas.openxmlformats.org/officeDocument/2006/relationships/hyperlink" Target="https://ojairecovery.com/testimonials/" TargetMode="External"/><Relationship Id="rId501" Type="http://schemas.openxmlformats.org/officeDocument/2006/relationships/hyperlink" Target="https://ojairecovery.com/testimonials/" TargetMode="External"/><Relationship Id="rId500" Type="http://schemas.openxmlformats.org/officeDocument/2006/relationships/hyperlink" Target="https://ojairecovery.com/testimonials/" TargetMode="External"/><Relationship Id="rId507" Type="http://schemas.openxmlformats.org/officeDocument/2006/relationships/hyperlink" Target="https://ojairecovery.com/therapies-experiences/" TargetMode="External"/><Relationship Id="rId506" Type="http://schemas.openxmlformats.org/officeDocument/2006/relationships/hyperlink" Target="https://ojairecovery.com/therapies-experiences/" TargetMode="External"/><Relationship Id="rId505" Type="http://schemas.openxmlformats.org/officeDocument/2006/relationships/hyperlink" Target="https://ojairecovery.com/the-difference-between-drug-detox-and-residential-rehab/" TargetMode="External"/><Relationship Id="rId504" Type="http://schemas.openxmlformats.org/officeDocument/2006/relationships/hyperlink" Target="https://ojairecovery.com/the-difference-between-drug-detox-and-residential-rehab/" TargetMode="External"/><Relationship Id="rId48" Type="http://schemas.openxmlformats.org/officeDocument/2006/relationships/hyperlink" Target="https://ojairecovery.com/alcohol-rehab-in-ventura-county-healing-the-mind-body-and-spirit-at-ojai-recovery/" TargetMode="External"/><Relationship Id="rId47" Type="http://schemas.openxmlformats.org/officeDocument/2006/relationships/hyperlink" Target="https://ojairecovery.com/alcohol-addiction-treatment/" TargetMode="External"/><Relationship Id="rId49" Type="http://schemas.openxmlformats.org/officeDocument/2006/relationships/hyperlink" Target="https://ojairecovery.com/alcohol-rehab-in-ventura-county-healing-the-mind-body-and-spirit-at-ojai-recovery/" TargetMode="External"/><Relationship Id="rId31" Type="http://schemas.openxmlformats.org/officeDocument/2006/relationships/hyperlink" Target="https://ojairecovery.com/detox-services/alcohol-detox/" TargetMode="External"/><Relationship Id="rId30" Type="http://schemas.openxmlformats.org/officeDocument/2006/relationships/hyperlink" Target="https://ojairecovery.com/alcohol-detox/" TargetMode="External"/><Relationship Id="rId33" Type="http://schemas.openxmlformats.org/officeDocument/2006/relationships/hyperlink" Target="https://ojairecovery.com/alcohol-detox/" TargetMode="External"/><Relationship Id="rId32" Type="http://schemas.openxmlformats.org/officeDocument/2006/relationships/hyperlink" Target="https://ojairecovery.com/alcohol-detox/" TargetMode="External"/><Relationship Id="rId35" Type="http://schemas.openxmlformats.org/officeDocument/2006/relationships/hyperlink" Target="https://ojairecovery.com/alcohol-addiction-treatment/" TargetMode="External"/><Relationship Id="rId34" Type="http://schemas.openxmlformats.org/officeDocument/2006/relationships/hyperlink" Target="https://ojairecovery.com/alcohol-rehab-centers-near-me/" TargetMode="External"/><Relationship Id="rId37" Type="http://schemas.openxmlformats.org/officeDocument/2006/relationships/hyperlink" Target="https://ojairecovery.com/alcohol-rehab-centers-near-me/" TargetMode="External"/><Relationship Id="rId36" Type="http://schemas.openxmlformats.org/officeDocument/2006/relationships/hyperlink" Target="https://ojairecovery.com/alcohol-rehab-centers-near-me/" TargetMode="External"/><Relationship Id="rId39" Type="http://schemas.openxmlformats.org/officeDocument/2006/relationships/hyperlink" Target="https://ojairecovery.com/alcohol-addiction-treatment/" TargetMode="External"/><Relationship Id="rId38" Type="http://schemas.openxmlformats.org/officeDocument/2006/relationships/hyperlink" Target="https://ojairecovery.com/alcohol-rehab-centers/" TargetMode="External"/><Relationship Id="rId20" Type="http://schemas.openxmlformats.org/officeDocument/2006/relationships/hyperlink" Target="https://ojairecovery.com/aftercare-alumni-services/" TargetMode="External"/><Relationship Id="rId22" Type="http://schemas.openxmlformats.org/officeDocument/2006/relationships/hyperlink" Target="https://ojairecovery.com/alcohol-addiction-treatment-in-ventura-county/" TargetMode="External"/><Relationship Id="rId21" Type="http://schemas.openxmlformats.org/officeDocument/2006/relationships/hyperlink" Target="https://ojairecovery.com/aftercare-alumni-services/" TargetMode="External"/><Relationship Id="rId24" Type="http://schemas.openxmlformats.org/officeDocument/2006/relationships/hyperlink" Target="https://ojairecovery.com/alcohol-addiction-treatment-in-ventura-county/" TargetMode="External"/><Relationship Id="rId23" Type="http://schemas.openxmlformats.org/officeDocument/2006/relationships/hyperlink" Target="https://ojairecovery.com/alcohol-addiction-treatment/" TargetMode="External"/><Relationship Id="rId409" Type="http://schemas.openxmlformats.org/officeDocument/2006/relationships/hyperlink" Target="https://ojairecovery.com/polysubstance-detox-what-you-need-to-know-when-more-than-one-drug-is-involved/" TargetMode="External"/><Relationship Id="rId404" Type="http://schemas.openxmlformats.org/officeDocument/2006/relationships/hyperlink" Target="https://ojairecovery.com/pinnacle-insurance-mental-health-treatment-options/" TargetMode="External"/><Relationship Id="rId525" Type="http://schemas.openxmlformats.org/officeDocument/2006/relationships/hyperlink" Target="https://ojairecovery.com/unitedhealthcare-rehab-coverage-guide/" TargetMode="External"/><Relationship Id="rId403" Type="http://schemas.openxmlformats.org/officeDocument/2006/relationships/hyperlink" Target="https://ojairecovery.com/pinnacle-insurance-mental-health-treatment-options/" TargetMode="External"/><Relationship Id="rId524" Type="http://schemas.openxmlformats.org/officeDocument/2006/relationships/hyperlink" Target="https://ojairecovery.com/understanding-opioid-withdrawal-symptoms-timeline-and-treatment-options/" TargetMode="External"/><Relationship Id="rId402" Type="http://schemas.openxmlformats.org/officeDocument/2006/relationships/hyperlink" Target="https://ojairecovery.com/pinnacle-insurance-mental-health-treatment-options/" TargetMode="External"/><Relationship Id="rId523" Type="http://schemas.openxmlformats.org/officeDocument/2006/relationships/hyperlink" Target="https://ojairecovery.com/understanding-opioid-withdrawal-symptoms-timeline-and-treatment-options/" TargetMode="External"/><Relationship Id="rId401" Type="http://schemas.openxmlformats.org/officeDocument/2006/relationships/hyperlink" Target="https://ojairecovery.com/outside-12-step-meetings/" TargetMode="External"/><Relationship Id="rId522" Type="http://schemas.openxmlformats.org/officeDocument/2006/relationships/hyperlink" Target="https://ojairecovery.com/understanding-opioid-withdrawal-symptoms-timeline-and-treatment-options/" TargetMode="External"/><Relationship Id="rId408" Type="http://schemas.openxmlformats.org/officeDocument/2006/relationships/hyperlink" Target="https://ojairecovery.com/polysubstance-detox-what-you-need-to-know-when-more-than-one-drug-is-involved/" TargetMode="External"/><Relationship Id="rId529" Type="http://schemas.openxmlformats.org/officeDocument/2006/relationships/hyperlink" Target="https://ojairecovery.com/addictions-treated/drug-addiction-treatment" TargetMode="External"/><Relationship Id="rId407" Type="http://schemas.openxmlformats.org/officeDocument/2006/relationships/hyperlink" Target="https://ojairecovery.com/polysubstance-abuse-treatment/" TargetMode="External"/><Relationship Id="rId528" Type="http://schemas.openxmlformats.org/officeDocument/2006/relationships/hyperlink" Target="https://ojairecovery.com/ventura-county-drug-rehab-comprehensive-inpatient-and-outpatient-options/" TargetMode="External"/><Relationship Id="rId406" Type="http://schemas.openxmlformats.org/officeDocument/2006/relationships/hyperlink" Target="https://ojairecovery.com/polysubstance-abuse-treatment/" TargetMode="External"/><Relationship Id="rId527" Type="http://schemas.openxmlformats.org/officeDocument/2006/relationships/hyperlink" Target="https://ojairecovery.com/unitedhealthcare-rehab-coverage-guide/" TargetMode="External"/><Relationship Id="rId405" Type="http://schemas.openxmlformats.org/officeDocument/2006/relationships/hyperlink" Target="https://ojairecovery.com/polysubstance-abuse-treatment/" TargetMode="External"/><Relationship Id="rId526" Type="http://schemas.openxmlformats.org/officeDocument/2006/relationships/hyperlink" Target="https://ojairecovery.com/unitedhealthcare-rehab-coverage-guide/" TargetMode="External"/><Relationship Id="rId26" Type="http://schemas.openxmlformats.org/officeDocument/2006/relationships/hyperlink" Target="https://ojairecovery.com/alcohol-addiction-treatment/" TargetMode="External"/><Relationship Id="rId25" Type="http://schemas.openxmlformats.org/officeDocument/2006/relationships/hyperlink" Target="https://ojairecovery.com/alcohol-addiction-treatment-in-ventura-county/" TargetMode="External"/><Relationship Id="rId28" Type="http://schemas.openxmlformats.org/officeDocument/2006/relationships/hyperlink" Target="https://ojairecovery.com/alcohol-addiction-treatment/" TargetMode="External"/><Relationship Id="rId27" Type="http://schemas.openxmlformats.org/officeDocument/2006/relationships/hyperlink" Target="https://ojairecovery.com/alcohol-addiction-treatment/" TargetMode="External"/><Relationship Id="rId400" Type="http://schemas.openxmlformats.org/officeDocument/2006/relationships/hyperlink" Target="https://ojairecovery.com/outside-12-step-meetings/" TargetMode="External"/><Relationship Id="rId521" Type="http://schemas.openxmlformats.org/officeDocument/2006/relationships/hyperlink" Target="https://ojairecovery.com/understanding-in-network-vs-out-of-network-rehab/" TargetMode="External"/><Relationship Id="rId29" Type="http://schemas.openxmlformats.org/officeDocument/2006/relationships/hyperlink" Target="https://ojairecovery.com/alcohol-addiction-treatment/" TargetMode="External"/><Relationship Id="rId520" Type="http://schemas.openxmlformats.org/officeDocument/2006/relationships/hyperlink" Target="https://ojairecovery.com/understanding-in-network-vs-out-of-network-rehab/" TargetMode="External"/><Relationship Id="rId11" Type="http://schemas.openxmlformats.org/officeDocument/2006/relationships/hyperlink" Target="https://ojairecovery.com/addictions-treated/" TargetMode="External"/><Relationship Id="rId10" Type="http://schemas.openxmlformats.org/officeDocument/2006/relationships/hyperlink" Target="https://ojairecovery.com/addictions-treated/" TargetMode="External"/><Relationship Id="rId13" Type="http://schemas.openxmlformats.org/officeDocument/2006/relationships/hyperlink" Target="https://ojairecovery.com/admissions/" TargetMode="External"/><Relationship Id="rId12" Type="http://schemas.openxmlformats.org/officeDocument/2006/relationships/hyperlink" Target="https://ojairecovery.com/addictions-treated/" TargetMode="External"/><Relationship Id="rId519" Type="http://schemas.openxmlformats.org/officeDocument/2006/relationships/hyperlink" Target="https://ojairecovery.com/understanding-in-network-vs-out-of-network-rehab/" TargetMode="External"/><Relationship Id="rId514" Type="http://schemas.openxmlformats.org/officeDocument/2006/relationships/hyperlink" Target="https://ojairecovery.com/tour-our-facility/" TargetMode="External"/><Relationship Id="rId513" Type="http://schemas.openxmlformats.org/officeDocument/2006/relationships/hyperlink" Target="https://ojairecovery.com/tour-our-facility/" TargetMode="External"/><Relationship Id="rId512" Type="http://schemas.openxmlformats.org/officeDocument/2006/relationships/hyperlink" Target="https://ojairecovery.com/thousand-oaks-drug-rehab-why-clients-travel-to-ojai-for-recovery/" TargetMode="External"/><Relationship Id="rId511" Type="http://schemas.openxmlformats.org/officeDocument/2006/relationships/hyperlink" Target="https://ojairecovery.com/thousand-oaks-drug-rehab-why-clients-travel-to-ojai-for-recovery/" TargetMode="External"/><Relationship Id="rId518" Type="http://schemas.openxmlformats.org/officeDocument/2006/relationships/hyperlink" Target="https://ojairecovery.com/tricare-addiction-treatment-insurance-coverage/" TargetMode="External"/><Relationship Id="rId517" Type="http://schemas.openxmlformats.org/officeDocument/2006/relationships/hyperlink" Target="https://ojairecovery.com/tricare-addiction-treatment-insurance-coverage/" TargetMode="External"/><Relationship Id="rId516" Type="http://schemas.openxmlformats.org/officeDocument/2006/relationships/hyperlink" Target="https://ojairecovery.com/tricare-addiction-treatment-insurance-coverage/" TargetMode="External"/><Relationship Id="rId515" Type="http://schemas.openxmlformats.org/officeDocument/2006/relationships/hyperlink" Target="https://ojairecovery.com/tour-our-facility/" TargetMode="External"/><Relationship Id="rId15" Type="http://schemas.openxmlformats.org/officeDocument/2006/relationships/hyperlink" Target="https://ojairecovery.com/admissions/" TargetMode="External"/><Relationship Id="rId14" Type="http://schemas.openxmlformats.org/officeDocument/2006/relationships/hyperlink" Target="https://ojairecovery.com/admissions/" TargetMode="External"/><Relationship Id="rId17" Type="http://schemas.openxmlformats.org/officeDocument/2006/relationships/hyperlink" Target="https://ojairecovery.com/aetna-addiction-treatment-coverage-california/" TargetMode="External"/><Relationship Id="rId16" Type="http://schemas.openxmlformats.org/officeDocument/2006/relationships/hyperlink" Target="https://ojairecovery.com/aetna-addiction-treatment-coverage-california/" TargetMode="External"/><Relationship Id="rId19" Type="http://schemas.openxmlformats.org/officeDocument/2006/relationships/hyperlink" Target="https://ojairecovery.com/aftercare-alumni-services/" TargetMode="External"/><Relationship Id="rId510" Type="http://schemas.openxmlformats.org/officeDocument/2006/relationships/hyperlink" Target="https://ojairecovery.com/addictions-treated/drug-addiction-treatment" TargetMode="External"/><Relationship Id="rId18" Type="http://schemas.openxmlformats.org/officeDocument/2006/relationships/hyperlink" Target="https://ojairecovery.com/aetna-addiction-treatment-coverage-california/" TargetMode="External"/><Relationship Id="rId84" Type="http://schemas.openxmlformats.org/officeDocument/2006/relationships/hyperlink" Target="https://ojairecovery.com/blog/" TargetMode="External"/><Relationship Id="rId83" Type="http://schemas.openxmlformats.org/officeDocument/2006/relationships/hyperlink" Target="https://ojairecovery.com/blog/page/2/" TargetMode="External"/><Relationship Id="rId86" Type="http://schemas.openxmlformats.org/officeDocument/2006/relationships/hyperlink" Target="https://ojairecovery.com/cdn-cgi/l/email-protection" TargetMode="External"/><Relationship Id="rId85" Type="http://schemas.openxmlformats.org/officeDocument/2006/relationships/hyperlink" Target="https://ojairecovery.com/cdn-cgi/l/email-protection" TargetMode="External"/><Relationship Id="rId88" Type="http://schemas.openxmlformats.org/officeDocument/2006/relationships/hyperlink" Target="https://ojairecovery.com/verify-insurance/cigna" TargetMode="External"/><Relationship Id="rId87" Type="http://schemas.openxmlformats.org/officeDocument/2006/relationships/hyperlink" Target="https://ojairecovery.com/cigna-drug-and-alcohol-rehab-insurance/" TargetMode="External"/><Relationship Id="rId89" Type="http://schemas.openxmlformats.org/officeDocument/2006/relationships/hyperlink" Target="https://ojairecovery.com/cigna-drug-and-alcohol-rehab-insurance/" TargetMode="External"/><Relationship Id="rId80" Type="http://schemas.openxmlformats.org/officeDocument/2006/relationships/hyperlink" Target="https://ojairecovery.com/best-insurance-plans-for-addiction-treatment/" TargetMode="External"/><Relationship Id="rId82" Type="http://schemas.openxmlformats.org/officeDocument/2006/relationships/hyperlink" Target="https://ojairecovery.com/blog/" TargetMode="External"/><Relationship Id="rId81" Type="http://schemas.openxmlformats.org/officeDocument/2006/relationships/hyperlink" Target="https://ojairecovery.com/blog/" TargetMode="External"/><Relationship Id="rId73" Type="http://schemas.openxmlformats.org/officeDocument/2006/relationships/hyperlink" Target="https://ojairecovery.com/beacon-health-insurance-for-substance-abuse-treatment/" TargetMode="External"/><Relationship Id="rId72" Type="http://schemas.openxmlformats.org/officeDocument/2006/relationships/hyperlink" Target="https://ojairecovery.com/beacon-health-insurance-for-substance-abuse-treatment/" TargetMode="External"/><Relationship Id="rId75" Type="http://schemas.openxmlformats.org/officeDocument/2006/relationships/hyperlink" Target="https://ojairecovery.com/addictions-treated/" TargetMode="External"/><Relationship Id="rId74" Type="http://schemas.openxmlformats.org/officeDocument/2006/relationships/hyperlink" Target="https://ojairecovery.com/best-addiction-treatment-centers-near-me-in-ventura-county/" TargetMode="External"/><Relationship Id="rId77" Type="http://schemas.openxmlformats.org/officeDocument/2006/relationships/hyperlink" Target="https://ojairecovery.com/best-addiction-treatment-centers-near-me-in-ventura-county/" TargetMode="External"/><Relationship Id="rId76" Type="http://schemas.openxmlformats.org/officeDocument/2006/relationships/hyperlink" Target="https://ojairecovery.com/best-addiction-treatment-centers-near-me-in-ventura-county/" TargetMode="External"/><Relationship Id="rId79" Type="http://schemas.openxmlformats.org/officeDocument/2006/relationships/hyperlink" Target="https://ojairecovery.com/best-insurance-plans-for-addiction-treatment/" TargetMode="External"/><Relationship Id="rId78" Type="http://schemas.openxmlformats.org/officeDocument/2006/relationships/hyperlink" Target="https://ojairecovery.com/best-insurance-plans-for-addiction-treatment/" TargetMode="External"/><Relationship Id="rId71" Type="http://schemas.openxmlformats.org/officeDocument/2006/relationships/hyperlink" Target="https://ojairecovery.com/beacon-health-insurance-for-substance-abuse-treatment/" TargetMode="External"/><Relationship Id="rId70" Type="http://schemas.openxmlformats.org/officeDocument/2006/relationships/hyperlink" Target="https://ojairecovery.com/avante-insurance-accepted-at-rehab-facilities/" TargetMode="External"/><Relationship Id="rId62" Type="http://schemas.openxmlformats.org/officeDocument/2006/relationships/hyperlink" Target="https://ojairecovery.com/alcohol-withdrawal-symptoms-what-s-normal-and-when-to-seek-help/" TargetMode="External"/><Relationship Id="rId61" Type="http://schemas.openxmlformats.org/officeDocument/2006/relationships/hyperlink" Target="https://ojairecovery.com/alcohol-rehabs/" TargetMode="External"/><Relationship Id="rId64" Type="http://schemas.openxmlformats.org/officeDocument/2006/relationships/hyperlink" Target="https://ojairecovery.com/alcohol-withdrawal-symptoms-what-s-normal-and-when-to-seek-help/" TargetMode="External"/><Relationship Id="rId63" Type="http://schemas.openxmlformats.org/officeDocument/2006/relationships/hyperlink" Target="https://ojairecovery.com/alcohol-withdrawal-symptoms-what-s-normal-and-when-to-seek-help/" TargetMode="External"/><Relationship Id="rId66" Type="http://schemas.openxmlformats.org/officeDocument/2006/relationships/hyperlink" Target="https://ojairecovery.com/anthem-insurance-for-mental-health-rehab/" TargetMode="External"/><Relationship Id="rId65" Type="http://schemas.openxmlformats.org/officeDocument/2006/relationships/hyperlink" Target="https://ojairecovery.com/anthem-insurance-for-mental-health-rehab/" TargetMode="External"/><Relationship Id="rId68" Type="http://schemas.openxmlformats.org/officeDocument/2006/relationships/hyperlink" Target="https://ojairecovery.com/avante-insurance-accepted-at-rehab-facilities/" TargetMode="External"/><Relationship Id="rId67" Type="http://schemas.openxmlformats.org/officeDocument/2006/relationships/hyperlink" Target="https://ojairecovery.com/anthem-insurance-for-mental-health-rehab/" TargetMode="External"/><Relationship Id="rId60" Type="http://schemas.openxmlformats.org/officeDocument/2006/relationships/hyperlink" Target="https://ojairecovery.com/alcohol-rehabs/" TargetMode="External"/><Relationship Id="rId69" Type="http://schemas.openxmlformats.org/officeDocument/2006/relationships/hyperlink" Target="https://ojairecovery.com/avante-insurance-accepted-at-rehab-facilities/" TargetMode="External"/><Relationship Id="rId51" Type="http://schemas.openxmlformats.org/officeDocument/2006/relationships/hyperlink" Target="https://ojairecovery.com/alcohol-addiction-treatment/" TargetMode="External"/><Relationship Id="rId50" Type="http://schemas.openxmlformats.org/officeDocument/2006/relationships/hyperlink" Target="https://ojairecovery.com/alcohol-rehab-in-ventura-county-tailored-programs-for-lasting-recovery/" TargetMode="External"/><Relationship Id="rId53" Type="http://schemas.openxmlformats.org/officeDocument/2006/relationships/hyperlink" Target="https://ojairecovery.com/alcohol-rehab-in-ventura-county-tailored-programs-for-lasting-recovery/" TargetMode="External"/><Relationship Id="rId52" Type="http://schemas.openxmlformats.org/officeDocument/2006/relationships/hyperlink" Target="https://ojairecovery.com/alcohol-rehab-in-ventura-county-tailored-programs-for-lasting-recovery/" TargetMode="External"/><Relationship Id="rId55" Type="http://schemas.openxmlformats.org/officeDocument/2006/relationships/hyperlink" Target="https://ojairecovery.com/alcohol-addiction-treatment/" TargetMode="External"/><Relationship Id="rId54" Type="http://schemas.openxmlformats.org/officeDocument/2006/relationships/hyperlink" Target="https://ojairecovery.com/alcohol-rehabs-near-me/" TargetMode="External"/><Relationship Id="rId57" Type="http://schemas.openxmlformats.org/officeDocument/2006/relationships/hyperlink" Target="https://ojairecovery.com/alcohol-rehabs-near-me/" TargetMode="External"/><Relationship Id="rId56" Type="http://schemas.openxmlformats.org/officeDocument/2006/relationships/hyperlink" Target="https://ojairecovery.com/alcohol-rehabs-near-me/" TargetMode="External"/><Relationship Id="rId59" Type="http://schemas.openxmlformats.org/officeDocument/2006/relationships/hyperlink" Target="https://ojairecovery.com/alcohol-addiction-treatment/" TargetMode="External"/><Relationship Id="rId58" Type="http://schemas.openxmlformats.org/officeDocument/2006/relationships/hyperlink" Target="https://ojairecovery.com/alcohol-rehabs/" TargetMode="External"/><Relationship Id="rId107" Type="http://schemas.openxmlformats.org/officeDocument/2006/relationships/hyperlink" Target="https://ojairecovery.com/detox-services/" TargetMode="External"/><Relationship Id="rId228" Type="http://schemas.openxmlformats.org/officeDocument/2006/relationships/hyperlink" Target="https://ojairecovery.com/how-to-get-started/" TargetMode="External"/><Relationship Id="rId349" Type="http://schemas.openxmlformats.org/officeDocument/2006/relationships/hyperlink" Target="https://ojairecovery.com/outpatient-detox-center-near-me/" TargetMode="External"/><Relationship Id="rId106" Type="http://schemas.openxmlformats.org/officeDocument/2006/relationships/hyperlink" Target="https://ojairecovery.com/detox-centers-near-me/" TargetMode="External"/><Relationship Id="rId227" Type="http://schemas.openxmlformats.org/officeDocument/2006/relationships/hyperlink" Target="https://ojairecovery.com/how-to-choose-a-rehab-that-takes-your-insurance/" TargetMode="External"/><Relationship Id="rId348" Type="http://schemas.openxmlformats.org/officeDocument/2006/relationships/hyperlink" Target="https://ojairecovery.com/outpatient-detox-center-near-me/" TargetMode="External"/><Relationship Id="rId469" Type="http://schemas.openxmlformats.org/officeDocument/2006/relationships/hyperlink" Target="https://ojairecovery.com/stimulant-addiction-treatment/" TargetMode="External"/><Relationship Id="rId105" Type="http://schemas.openxmlformats.org/officeDocument/2006/relationships/hyperlink" Target="https://ojairecovery.com/detox-centers-in-ojai-your-guide-to-local-options/" TargetMode="External"/><Relationship Id="rId226" Type="http://schemas.openxmlformats.org/officeDocument/2006/relationships/hyperlink" Target="https://ojairecovery.com/how-to-choose-a-rehab-that-takes-your-insurance/" TargetMode="External"/><Relationship Id="rId347" Type="http://schemas.openxmlformats.org/officeDocument/2006/relationships/hyperlink" Target="https://ojairecovery.com/outpatient-detox-alcohol/" TargetMode="External"/><Relationship Id="rId468" Type="http://schemas.openxmlformats.org/officeDocument/2006/relationships/hyperlink" Target="https://ojairecovery.com/social-model-of-recovery/" TargetMode="External"/><Relationship Id="rId104" Type="http://schemas.openxmlformats.org/officeDocument/2006/relationships/hyperlink" Target="https://ojairecovery.com/detox-centers-in-ojai-your-guide-to-local-options/" TargetMode="External"/><Relationship Id="rId225" Type="http://schemas.openxmlformats.org/officeDocument/2006/relationships/hyperlink" Target="https://ojairecovery.com/how-to-choose-a-rehab-that-takes-your-insurance/" TargetMode="External"/><Relationship Id="rId346" Type="http://schemas.openxmlformats.org/officeDocument/2006/relationships/hyperlink" Target="https://ojairecovery.com/outpatient-detox-alcohol/" TargetMode="External"/><Relationship Id="rId467" Type="http://schemas.openxmlformats.org/officeDocument/2006/relationships/hyperlink" Target="https://ojairecovery.com/social-model-of-recovery/" TargetMode="External"/><Relationship Id="rId109" Type="http://schemas.openxmlformats.org/officeDocument/2006/relationships/hyperlink" Target="https://ojairecovery.com/detox-centers-near-me/" TargetMode="External"/><Relationship Id="rId108" Type="http://schemas.openxmlformats.org/officeDocument/2006/relationships/hyperlink" Target="https://ojairecovery.com/detox-centers-near-me/" TargetMode="External"/><Relationship Id="rId229" Type="http://schemas.openxmlformats.org/officeDocument/2006/relationships/hyperlink" Target="https://ojairecovery.com/how-to-get-started/" TargetMode="External"/><Relationship Id="rId220" Type="http://schemas.openxmlformats.org/officeDocument/2006/relationships/hyperlink" Target="https://ojairecovery.com/holman-group-coverage-for-addiction-treatment/" TargetMode="External"/><Relationship Id="rId341" Type="http://schemas.openxmlformats.org/officeDocument/2006/relationships/hyperlink" Target="https://ojairecovery.com/alcohol-addiction-treatment/" TargetMode="External"/><Relationship Id="rId462" Type="http://schemas.openxmlformats.org/officeDocument/2006/relationships/hyperlink" Target="https://ojairecovery.com/residential-treatment-near-malibu-structured-support-near-the-coast/" TargetMode="External"/><Relationship Id="rId340" Type="http://schemas.openxmlformats.org/officeDocument/2006/relationships/hyperlink" Target="https://ojairecovery.com/outpatient-alcohol-rehab/" TargetMode="External"/><Relationship Id="rId461" Type="http://schemas.openxmlformats.org/officeDocument/2006/relationships/hyperlink" Target="https://ojairecovery.com/residential-treatment-near-malibu-structured-support-near-the-coast/" TargetMode="External"/><Relationship Id="rId460" Type="http://schemas.openxmlformats.org/officeDocument/2006/relationships/hyperlink" Target="https://ojairecovery.com/residential-treatment/" TargetMode="External"/><Relationship Id="rId103" Type="http://schemas.openxmlformats.org/officeDocument/2006/relationships/hyperlink" Target="https://ojairecovery.com/detox-services/" TargetMode="External"/><Relationship Id="rId224" Type="http://schemas.openxmlformats.org/officeDocument/2006/relationships/hyperlink" Target="https://ojairecovery.com/how-medical-detox-supports-long-term-sobriety/" TargetMode="External"/><Relationship Id="rId345" Type="http://schemas.openxmlformats.org/officeDocument/2006/relationships/hyperlink" Target="https://ojairecovery.com/detox-services/alcohol-detox/" TargetMode="External"/><Relationship Id="rId466" Type="http://schemas.openxmlformats.org/officeDocument/2006/relationships/hyperlink" Target="https://ojairecovery.com/social-model-of-recovery/" TargetMode="External"/><Relationship Id="rId102" Type="http://schemas.openxmlformats.org/officeDocument/2006/relationships/hyperlink" Target="https://ojairecovery.com/detox-centers-in-ojai-your-guide-to-local-options/" TargetMode="External"/><Relationship Id="rId223" Type="http://schemas.openxmlformats.org/officeDocument/2006/relationships/hyperlink" Target="https://ojairecovery.com/how-medical-detox-supports-long-term-sobriety/" TargetMode="External"/><Relationship Id="rId344" Type="http://schemas.openxmlformats.org/officeDocument/2006/relationships/hyperlink" Target="https://ojairecovery.com/outpatient-detox-alcohol/" TargetMode="External"/><Relationship Id="rId465" Type="http://schemas.openxmlformats.org/officeDocument/2006/relationships/hyperlink" Target="https://ojairecovery.com/residential-treatment/" TargetMode="External"/><Relationship Id="rId101" Type="http://schemas.openxmlformats.org/officeDocument/2006/relationships/hyperlink" Target="https://ojairecovery.com/depression-anxiety-trauma/" TargetMode="External"/><Relationship Id="rId222" Type="http://schemas.openxmlformats.org/officeDocument/2006/relationships/hyperlink" Target="https://ojairecovery.com/how-medical-detox-supports-long-term-sobriety/" TargetMode="External"/><Relationship Id="rId343" Type="http://schemas.openxmlformats.org/officeDocument/2006/relationships/hyperlink" Target="https://ojairecovery.com/outpatient-alcohol-rehab/" TargetMode="External"/><Relationship Id="rId464" Type="http://schemas.openxmlformats.org/officeDocument/2006/relationships/hyperlink" Target="https://ojairecovery.com/residential-treatment/" TargetMode="External"/><Relationship Id="rId100" Type="http://schemas.openxmlformats.org/officeDocument/2006/relationships/hyperlink" Target="https://ojairecovery.com/depression-anxiety-trauma/" TargetMode="External"/><Relationship Id="rId221" Type="http://schemas.openxmlformats.org/officeDocument/2006/relationships/hyperlink" Target="https://ojairecovery.com/holman-group-coverage-for-addiction-treatment/" TargetMode="External"/><Relationship Id="rId342" Type="http://schemas.openxmlformats.org/officeDocument/2006/relationships/hyperlink" Target="https://ojairecovery.com/outpatient-alcohol-rehab/" TargetMode="External"/><Relationship Id="rId463" Type="http://schemas.openxmlformats.org/officeDocument/2006/relationships/hyperlink" Target="https://ojairecovery.com/residential-treatment/" TargetMode="External"/><Relationship Id="rId217" Type="http://schemas.openxmlformats.org/officeDocument/2006/relationships/hyperlink" Target="https://ojairecovery.com/high-end-rehabs-that-work-with-insurance/" TargetMode="External"/><Relationship Id="rId338" Type="http://schemas.openxmlformats.org/officeDocument/2006/relationships/hyperlink" Target="https://ojairecovery.com/outpatient-alcohol-rehab-programs/" TargetMode="External"/><Relationship Id="rId459" Type="http://schemas.openxmlformats.org/officeDocument/2006/relationships/hyperlink" Target="https://ojairecovery.com/residential-treatment-near-malibu-structured-support-near-the-coast/" TargetMode="External"/><Relationship Id="rId216" Type="http://schemas.openxmlformats.org/officeDocument/2006/relationships/hyperlink" Target="https://ojairecovery.com/health-smart-insurance-for-addiction-programs/" TargetMode="External"/><Relationship Id="rId337" Type="http://schemas.openxmlformats.org/officeDocument/2006/relationships/hyperlink" Target="https://ojairecovery.com/detox-services/alcohol-detox/" TargetMode="External"/><Relationship Id="rId458" Type="http://schemas.openxmlformats.org/officeDocument/2006/relationships/hyperlink" Target="https://ojairecovery.com/residential-addiction-treatment-in-ojai-long-term-healing-solutions/" TargetMode="External"/><Relationship Id="rId215" Type="http://schemas.openxmlformats.org/officeDocument/2006/relationships/hyperlink" Target="https://ojairecovery.com/health-smart-insurance-for-addiction-programs/" TargetMode="External"/><Relationship Id="rId336" Type="http://schemas.openxmlformats.org/officeDocument/2006/relationships/hyperlink" Target="https://ojairecovery.com/outpatient-alcohol-rehab-programs/" TargetMode="External"/><Relationship Id="rId457" Type="http://schemas.openxmlformats.org/officeDocument/2006/relationships/hyperlink" Target="https://ojairecovery.com/residential-addiction-treatment-in-ojai-long-term-healing-solutions/" TargetMode="External"/><Relationship Id="rId214" Type="http://schemas.openxmlformats.org/officeDocument/2006/relationships/hyperlink" Target="https://ojairecovery.com/health-smart-insurance-for-addiction-programs/" TargetMode="External"/><Relationship Id="rId335" Type="http://schemas.openxmlformats.org/officeDocument/2006/relationships/hyperlink" Target="https://ojairecovery.com/outpatient-alcohol-rehab-near-me/" TargetMode="External"/><Relationship Id="rId456" Type="http://schemas.openxmlformats.org/officeDocument/2006/relationships/hyperlink" Target="https://ojairecovery.com/residential-treatment/" TargetMode="External"/><Relationship Id="rId219" Type="http://schemas.openxmlformats.org/officeDocument/2006/relationships/hyperlink" Target="https://ojairecovery.com/high-end-rehabs-that-work-with-insurance/" TargetMode="External"/><Relationship Id="rId218" Type="http://schemas.openxmlformats.org/officeDocument/2006/relationships/hyperlink" Target="https://ojairecovery.com/high-end-rehabs-that-work-with-insurance/" TargetMode="External"/><Relationship Id="rId339" Type="http://schemas.openxmlformats.org/officeDocument/2006/relationships/hyperlink" Target="https://ojairecovery.com/outpatient-alcohol-rehab-programs/" TargetMode="External"/><Relationship Id="rId330" Type="http://schemas.openxmlformats.org/officeDocument/2006/relationships/hyperlink" Target="https://ojairecovery.com/outpatient-alcohol-detox/" TargetMode="External"/><Relationship Id="rId451" Type="http://schemas.openxmlformats.org/officeDocument/2006/relationships/hyperlink" Target="https://ojairecovery.com/rehab-programs-covered-by-hmo-insurance/" TargetMode="External"/><Relationship Id="rId450" Type="http://schemas.openxmlformats.org/officeDocument/2006/relationships/hyperlink" Target="https://ojairecovery.com/rehab-programs-covered-by-hmo-insurance/" TargetMode="External"/><Relationship Id="rId213" Type="http://schemas.openxmlformats.org/officeDocument/2006/relationships/hyperlink" Target="https://ojairecovery.com/health-net-dual-diagnosis-treatment-coverage/" TargetMode="External"/><Relationship Id="rId334" Type="http://schemas.openxmlformats.org/officeDocument/2006/relationships/hyperlink" Target="https://ojairecovery.com/outpatient-alcohol-rehab-near-me/" TargetMode="External"/><Relationship Id="rId455" Type="http://schemas.openxmlformats.org/officeDocument/2006/relationships/hyperlink" Target="https://ojairecovery.com/residential-addiction-treatment-in-ojai-long-term-healing-solutions/" TargetMode="External"/><Relationship Id="rId212" Type="http://schemas.openxmlformats.org/officeDocument/2006/relationships/hyperlink" Target="https://ojairecovery.com/health-net-dual-diagnosis-treatment-coverage/" TargetMode="External"/><Relationship Id="rId333" Type="http://schemas.openxmlformats.org/officeDocument/2006/relationships/hyperlink" Target="https://ojairecovery.com/detox-services/alcohol-detox/" TargetMode="External"/><Relationship Id="rId454" Type="http://schemas.openxmlformats.org/officeDocument/2006/relationships/hyperlink" Target="https://ojairecovery.com/rehab-without-upfront-payment-using-insurance/" TargetMode="External"/><Relationship Id="rId211" Type="http://schemas.openxmlformats.org/officeDocument/2006/relationships/hyperlink" Target="https://ojairecovery.com/health-net-dual-diagnosis-treatment-coverage/" TargetMode="External"/><Relationship Id="rId332" Type="http://schemas.openxmlformats.org/officeDocument/2006/relationships/hyperlink" Target="https://ojairecovery.com/outpatient-alcohol-rehab-near-me/" TargetMode="External"/><Relationship Id="rId453" Type="http://schemas.openxmlformats.org/officeDocument/2006/relationships/hyperlink" Target="https://ojairecovery.com/rehab-without-upfront-payment-using-insurance/" TargetMode="External"/><Relationship Id="rId210" Type="http://schemas.openxmlformats.org/officeDocument/2006/relationships/hyperlink" Target="https://ojairecovery.com/group-therapy/" TargetMode="External"/><Relationship Id="rId331" Type="http://schemas.openxmlformats.org/officeDocument/2006/relationships/hyperlink" Target="https://ojairecovery.com/outpatient-alcohol-detox/" TargetMode="External"/><Relationship Id="rId452" Type="http://schemas.openxmlformats.org/officeDocument/2006/relationships/hyperlink" Target="https://ojairecovery.com/rehab-without-upfront-payment-using-insurance/" TargetMode="External"/><Relationship Id="rId370" Type="http://schemas.openxmlformats.org/officeDocument/2006/relationships/hyperlink" Target="https://ojairecovery.com/outpatient-drug-rehab-centers/" TargetMode="External"/><Relationship Id="rId491" Type="http://schemas.openxmlformats.org/officeDocument/2006/relationships/hyperlink" Target="https://ojairecovery.com/detox-services/alcohol-detox/" TargetMode="External"/><Relationship Id="rId490" Type="http://schemas.openxmlformats.org/officeDocument/2006/relationships/hyperlink" Target="https://ojairecovery.com/tag/ojai-alcohol-detox/" TargetMode="External"/><Relationship Id="rId129" Type="http://schemas.openxmlformats.org/officeDocument/2006/relationships/hyperlink" Target="https://ojairecovery.com/does-aetna-cover-addiction-treatment-your-complete-guide-to-benefits-and-coverage/" TargetMode="External"/><Relationship Id="rId128" Type="http://schemas.openxmlformats.org/officeDocument/2006/relationships/hyperlink" Target="https://ojairecovery.com/does-aetna-cover-addiction-treatment-your-complete-guide-to-benefits-and-coverage/" TargetMode="External"/><Relationship Id="rId249" Type="http://schemas.openxmlformats.org/officeDocument/2006/relationships/hyperlink" Target="https://ojairecovery.com/inpatient-rehabs-near-me/" TargetMode="External"/><Relationship Id="rId127" Type="http://schemas.openxmlformats.org/officeDocument/2006/relationships/hyperlink" Target="https://ojairecovery.com/does-aetna-cover-addiction-treatment-your-complete-guide-to-benefits-and-coverage/" TargetMode="External"/><Relationship Id="rId248" Type="http://schemas.openxmlformats.org/officeDocument/2006/relationships/hyperlink" Target="https://ojairecovery.com/inpatient-mental-health/" TargetMode="External"/><Relationship Id="rId369" Type="http://schemas.openxmlformats.org/officeDocument/2006/relationships/hyperlink" Target="https://ojairecovery.com/addictions-treated/drug-addiction-treatment" TargetMode="External"/><Relationship Id="rId126" Type="http://schemas.openxmlformats.org/officeDocument/2006/relationships/hyperlink" Target="https://ojairecovery.com/difference-between-private-and-insurance-funded-rehab/" TargetMode="External"/><Relationship Id="rId247" Type="http://schemas.openxmlformats.org/officeDocument/2006/relationships/hyperlink" Target="https://ojairecovery.com/inpatient-mental-health/" TargetMode="External"/><Relationship Id="rId368" Type="http://schemas.openxmlformats.org/officeDocument/2006/relationships/hyperlink" Target="https://ojairecovery.com/outpatient-drug-rehab-centers/" TargetMode="External"/><Relationship Id="rId489" Type="http://schemas.openxmlformats.org/officeDocument/2006/relationships/hyperlink" Target="https://ojairecovery.com/tag/malibu-alcohol-treatment/" TargetMode="External"/><Relationship Id="rId121" Type="http://schemas.openxmlformats.org/officeDocument/2006/relationships/hyperlink" Target="https://ojairecovery.com/detoxing-from-benzodiazepines-why-you-should-never-go-cold-turkey/" TargetMode="External"/><Relationship Id="rId242" Type="http://schemas.openxmlformats.org/officeDocument/2006/relationships/hyperlink" Target="https://ojairecovery.com/individual-group-therapy/" TargetMode="External"/><Relationship Id="rId363" Type="http://schemas.openxmlformats.org/officeDocument/2006/relationships/hyperlink" Target="https://ojairecovery.com/outpatient-detox-programs-near-me/" TargetMode="External"/><Relationship Id="rId484" Type="http://schemas.openxmlformats.org/officeDocument/2006/relationships/hyperlink" Target="https://ojairecovery.com/tag/drug-rehab-in-ventura-county/" TargetMode="External"/><Relationship Id="rId120" Type="http://schemas.openxmlformats.org/officeDocument/2006/relationships/hyperlink" Target="https://ojairecovery.com/detox-services/" TargetMode="External"/><Relationship Id="rId241" Type="http://schemas.openxmlformats.org/officeDocument/2006/relationships/hyperlink" Target="https://ojairecovery.com/individual-group-therapy/" TargetMode="External"/><Relationship Id="rId362" Type="http://schemas.openxmlformats.org/officeDocument/2006/relationships/hyperlink" Target="https://ojairecovery.com/detox-services/" TargetMode="External"/><Relationship Id="rId483" Type="http://schemas.openxmlformats.org/officeDocument/2006/relationships/hyperlink" Target="https://ojairecovery.com/tag/drug-detox-in-ojai/" TargetMode="External"/><Relationship Id="rId240" Type="http://schemas.openxmlformats.org/officeDocument/2006/relationships/hyperlink" Target="https://ojairecovery.com/individual-group-therapy/" TargetMode="External"/><Relationship Id="rId361" Type="http://schemas.openxmlformats.org/officeDocument/2006/relationships/hyperlink" Target="https://ojairecovery.com/outpatient-detox-programs-near-me/" TargetMode="External"/><Relationship Id="rId482" Type="http://schemas.openxmlformats.org/officeDocument/2006/relationships/hyperlink" Target="https://ojairecovery.com/detox-services/drug-detox/" TargetMode="External"/><Relationship Id="rId360" Type="http://schemas.openxmlformats.org/officeDocument/2006/relationships/hyperlink" Target="https://ojairecovery.com/outpatient-detox-near-me/" TargetMode="External"/><Relationship Id="rId481" Type="http://schemas.openxmlformats.org/officeDocument/2006/relationships/hyperlink" Target="https://ojairecovery.com/tag/drug-detox-in-ojai/" TargetMode="External"/><Relationship Id="rId125" Type="http://schemas.openxmlformats.org/officeDocument/2006/relationships/hyperlink" Target="https://ojairecovery.com/difference-between-private-and-insurance-funded-rehab/" TargetMode="External"/><Relationship Id="rId246" Type="http://schemas.openxmlformats.org/officeDocument/2006/relationships/hyperlink" Target="https://ojairecovery.com/inpatient-mental-health/" TargetMode="External"/><Relationship Id="rId367" Type="http://schemas.openxmlformats.org/officeDocument/2006/relationships/hyperlink" Target="https://ojairecovery.com/outpatient-detox-programs/" TargetMode="External"/><Relationship Id="rId488" Type="http://schemas.openxmlformats.org/officeDocument/2006/relationships/hyperlink" Target="https://ojairecovery.com/alcohol-addiction-treatment/" TargetMode="External"/><Relationship Id="rId124" Type="http://schemas.openxmlformats.org/officeDocument/2006/relationships/hyperlink" Target="https://ojairecovery.com/difference-between-private-and-insurance-funded-rehab/" TargetMode="External"/><Relationship Id="rId245" Type="http://schemas.openxmlformats.org/officeDocument/2006/relationships/hyperlink" Target="https://ojairecovery.com/individual-therapy/" TargetMode="External"/><Relationship Id="rId366" Type="http://schemas.openxmlformats.org/officeDocument/2006/relationships/hyperlink" Target="https://ojairecovery.com/outpatient-detox-programs/" TargetMode="External"/><Relationship Id="rId487" Type="http://schemas.openxmlformats.org/officeDocument/2006/relationships/hyperlink" Target="https://ojairecovery.com/tag/malibu-alcohol-treatment/" TargetMode="External"/><Relationship Id="rId123" Type="http://schemas.openxmlformats.org/officeDocument/2006/relationships/hyperlink" Target="https://ojairecovery.com/detoxing-from-benzodiazepines-why-you-should-never-go-cold-turkey/" TargetMode="External"/><Relationship Id="rId244" Type="http://schemas.openxmlformats.org/officeDocument/2006/relationships/hyperlink" Target="https://ojairecovery.com/individual-therapy/" TargetMode="External"/><Relationship Id="rId365" Type="http://schemas.openxmlformats.org/officeDocument/2006/relationships/hyperlink" Target="https://ojairecovery.com/outpatient-detox-programs/" TargetMode="External"/><Relationship Id="rId486" Type="http://schemas.openxmlformats.org/officeDocument/2006/relationships/hyperlink" Target="https://ojairecovery.com/tag/drug-rehab-in-ventura-county/" TargetMode="External"/><Relationship Id="rId122" Type="http://schemas.openxmlformats.org/officeDocument/2006/relationships/hyperlink" Target="https://ojairecovery.com/detoxing-from-benzodiazepines-why-you-should-never-go-cold-turkey/" TargetMode="External"/><Relationship Id="rId243" Type="http://schemas.openxmlformats.org/officeDocument/2006/relationships/hyperlink" Target="https://ojairecovery.com/individual-therapy/" TargetMode="External"/><Relationship Id="rId364" Type="http://schemas.openxmlformats.org/officeDocument/2006/relationships/hyperlink" Target="https://ojairecovery.com/outpatient-detox-programs-near-me/" TargetMode="External"/><Relationship Id="rId485" Type="http://schemas.openxmlformats.org/officeDocument/2006/relationships/hyperlink" Target="https://ojairecovery.com/addictions-treated/drug-addiction-treatment" TargetMode="External"/><Relationship Id="rId95" Type="http://schemas.openxmlformats.org/officeDocument/2006/relationships/hyperlink" Target="https://ojairecovery.com/compsych-therapy-and-addiction-recovery-insurance/" TargetMode="External"/><Relationship Id="rId94" Type="http://schemas.openxmlformats.org/officeDocument/2006/relationships/hyperlink" Target="https://ojairecovery.com/compsych-therapy-and-addiction-recovery-insurance/" TargetMode="External"/><Relationship Id="rId97" Type="http://schemas.openxmlformats.org/officeDocument/2006/relationships/hyperlink" Target="https://ojairecovery.com/daily-life/" TargetMode="External"/><Relationship Id="rId96" Type="http://schemas.openxmlformats.org/officeDocument/2006/relationships/hyperlink" Target="https://ojairecovery.com/daily-life/" TargetMode="External"/><Relationship Id="rId99" Type="http://schemas.openxmlformats.org/officeDocument/2006/relationships/hyperlink" Target="https://ojairecovery.com/depression-anxiety-trauma/" TargetMode="External"/><Relationship Id="rId480" Type="http://schemas.openxmlformats.org/officeDocument/2006/relationships/hyperlink" Target="https://ojairecovery.com/tag/detox-centers-in-ojai/" TargetMode="External"/><Relationship Id="rId98" Type="http://schemas.openxmlformats.org/officeDocument/2006/relationships/hyperlink" Target="https://ojairecovery.com/daily-life/" TargetMode="External"/><Relationship Id="rId91" Type="http://schemas.openxmlformats.org/officeDocument/2006/relationships/hyperlink" Target="https://ojairecovery.com/co-occurring-disorders/" TargetMode="External"/><Relationship Id="rId90" Type="http://schemas.openxmlformats.org/officeDocument/2006/relationships/hyperlink" Target="https://ojairecovery.com/cigna-drug-and-alcohol-rehab-insurance/" TargetMode="External"/><Relationship Id="rId93" Type="http://schemas.openxmlformats.org/officeDocument/2006/relationships/hyperlink" Target="https://ojairecovery.com/co-occurring-disorders/" TargetMode="External"/><Relationship Id="rId92" Type="http://schemas.openxmlformats.org/officeDocument/2006/relationships/hyperlink" Target="https://ojairecovery.com/co-occurring-disorders/" TargetMode="External"/><Relationship Id="rId118" Type="http://schemas.openxmlformats.org/officeDocument/2006/relationships/hyperlink" Target="https://ojairecovery.com/detox-services/" TargetMode="External"/><Relationship Id="rId239" Type="http://schemas.openxmlformats.org/officeDocument/2006/relationships/hyperlink" Target="https://ojairecovery.com/humana-insurance-drug-rehab-coverage/" TargetMode="External"/><Relationship Id="rId117" Type="http://schemas.openxmlformats.org/officeDocument/2006/relationships/hyperlink" Target="https://ojairecovery.com/detox-from-alcohol/" TargetMode="External"/><Relationship Id="rId238" Type="http://schemas.openxmlformats.org/officeDocument/2006/relationships/hyperlink" Target="https://ojairecovery.com/humana-insurance-drug-rehab-coverage/" TargetMode="External"/><Relationship Id="rId359" Type="http://schemas.openxmlformats.org/officeDocument/2006/relationships/hyperlink" Target="https://ojairecovery.com/outpatient-detox-near-me/" TargetMode="External"/><Relationship Id="rId116" Type="http://schemas.openxmlformats.org/officeDocument/2006/relationships/hyperlink" Target="https://ojairecovery.com/detox-from-alcohol/" TargetMode="External"/><Relationship Id="rId237" Type="http://schemas.openxmlformats.org/officeDocument/2006/relationships/hyperlink" Target="https://ojairecovery.com/humana-insurance-drug-rehab-coverage/" TargetMode="External"/><Relationship Id="rId358" Type="http://schemas.openxmlformats.org/officeDocument/2006/relationships/hyperlink" Target="https://ojairecovery.com/outpatient-detox-near-me/" TargetMode="External"/><Relationship Id="rId479" Type="http://schemas.openxmlformats.org/officeDocument/2006/relationships/hyperlink" Target="https://ojairecovery.com/tag/detox-centers-in-ojai/" TargetMode="External"/><Relationship Id="rId115" Type="http://schemas.openxmlformats.org/officeDocument/2006/relationships/hyperlink" Target="https://ojairecovery.com/detox-services/alcohol-detox/" TargetMode="External"/><Relationship Id="rId236" Type="http://schemas.openxmlformats.org/officeDocument/2006/relationships/hyperlink" Target="https://ojairecovery.com/how-trauma-can-complicate-the-detox-process-and-how-we-treat-it/" TargetMode="External"/><Relationship Id="rId357" Type="http://schemas.openxmlformats.org/officeDocument/2006/relationships/hyperlink" Target="https://ojairecovery.com/outpatient-detox-for-alcohol/" TargetMode="External"/><Relationship Id="rId478" Type="http://schemas.openxmlformats.org/officeDocument/2006/relationships/hyperlink" Target="https://ojairecovery.com/tag/alcohol-rehab-in-ventura-county/" TargetMode="External"/><Relationship Id="rId119" Type="http://schemas.openxmlformats.org/officeDocument/2006/relationships/hyperlink" Target="https://ojairecovery.com/detox-services/" TargetMode="External"/><Relationship Id="rId110" Type="http://schemas.openxmlformats.org/officeDocument/2006/relationships/hyperlink" Target="https://ojairecovery.com/detox-for-drug/" TargetMode="External"/><Relationship Id="rId231" Type="http://schemas.openxmlformats.org/officeDocument/2006/relationships/hyperlink" Target="https://ojairecovery.com/how-to-verify-insurance-for-rehab/" TargetMode="External"/><Relationship Id="rId352" Type="http://schemas.openxmlformats.org/officeDocument/2006/relationships/hyperlink" Target="https://ojairecovery.com/outpatient-detox-centers-near-me/" TargetMode="External"/><Relationship Id="rId473" Type="http://schemas.openxmlformats.org/officeDocument/2006/relationships/hyperlink" Target="https://ojairecovery.com/tag/addiction-treatment-centers-near-me/" TargetMode="External"/><Relationship Id="rId230" Type="http://schemas.openxmlformats.org/officeDocument/2006/relationships/hyperlink" Target="https://ojairecovery.com/how-to-get-started/" TargetMode="External"/><Relationship Id="rId351" Type="http://schemas.openxmlformats.org/officeDocument/2006/relationships/hyperlink" Target="https://ojairecovery.com/outpatient-detox-centers-near-me/" TargetMode="External"/><Relationship Id="rId472" Type="http://schemas.openxmlformats.org/officeDocument/2006/relationships/hyperlink" Target="https://ojairecovery.com/tag/addiction-treatment-centers-near-me/" TargetMode="External"/><Relationship Id="rId350" Type="http://schemas.openxmlformats.org/officeDocument/2006/relationships/hyperlink" Target="https://ojairecovery.com/outpatient-detox-center-near-me/" TargetMode="External"/><Relationship Id="rId471" Type="http://schemas.openxmlformats.org/officeDocument/2006/relationships/hyperlink" Target="https://ojairecovery.com/stimulant-addiction-treatment/" TargetMode="External"/><Relationship Id="rId470" Type="http://schemas.openxmlformats.org/officeDocument/2006/relationships/hyperlink" Target="https://ojairecovery.com/stimulant-addiction-treatment/" TargetMode="External"/><Relationship Id="rId114" Type="http://schemas.openxmlformats.org/officeDocument/2006/relationships/hyperlink" Target="https://ojairecovery.com/detox-from-alcohol/" TargetMode="External"/><Relationship Id="rId235" Type="http://schemas.openxmlformats.org/officeDocument/2006/relationships/hyperlink" Target="https://ojairecovery.com/how-trauma-can-complicate-the-detox-process-and-how-we-treat-it/" TargetMode="External"/><Relationship Id="rId356" Type="http://schemas.openxmlformats.org/officeDocument/2006/relationships/hyperlink" Target="https://ojairecovery.com/outpatient-detox-for-alcohol/" TargetMode="External"/><Relationship Id="rId477" Type="http://schemas.openxmlformats.org/officeDocument/2006/relationships/hyperlink" Target="https://ojairecovery.com/alcohol-addiction-treatment/" TargetMode="External"/><Relationship Id="rId113" Type="http://schemas.openxmlformats.org/officeDocument/2006/relationships/hyperlink" Target="https://ojairecovery.com/detox-for-drug/" TargetMode="External"/><Relationship Id="rId234" Type="http://schemas.openxmlformats.org/officeDocument/2006/relationships/hyperlink" Target="https://ojairecovery.com/how-trauma-can-complicate-the-detox-process-and-how-we-treat-it/" TargetMode="External"/><Relationship Id="rId355" Type="http://schemas.openxmlformats.org/officeDocument/2006/relationships/hyperlink" Target="https://ojairecovery.com/detox-services/alcohol-detox/" TargetMode="External"/><Relationship Id="rId476" Type="http://schemas.openxmlformats.org/officeDocument/2006/relationships/hyperlink" Target="https://ojairecovery.com/tag/alcohol-rehab-in-ventura-county/" TargetMode="External"/><Relationship Id="rId112" Type="http://schemas.openxmlformats.org/officeDocument/2006/relationships/hyperlink" Target="https://ojairecovery.com/detox-for-drug/" TargetMode="External"/><Relationship Id="rId233" Type="http://schemas.openxmlformats.org/officeDocument/2006/relationships/hyperlink" Target="https://ojairecovery.com/how-to-verify-insurance-for-rehab/" TargetMode="External"/><Relationship Id="rId354" Type="http://schemas.openxmlformats.org/officeDocument/2006/relationships/hyperlink" Target="https://ojairecovery.com/outpatient-detox-for-alcohol/" TargetMode="External"/><Relationship Id="rId475" Type="http://schemas.openxmlformats.org/officeDocument/2006/relationships/hyperlink" Target="https://ojairecovery.com/tag/aetna-cover-addiction-treatment/" TargetMode="External"/><Relationship Id="rId111" Type="http://schemas.openxmlformats.org/officeDocument/2006/relationships/hyperlink" Target="https://ojairecovery.com/detox-services/drug-detox/" TargetMode="External"/><Relationship Id="rId232" Type="http://schemas.openxmlformats.org/officeDocument/2006/relationships/hyperlink" Target="https://ojairecovery.com/how-to-verify-insurance-for-rehab/" TargetMode="External"/><Relationship Id="rId353" Type="http://schemas.openxmlformats.org/officeDocument/2006/relationships/hyperlink" Target="https://ojairecovery.com/outpatient-detox-centers-near-me/" TargetMode="External"/><Relationship Id="rId474" Type="http://schemas.openxmlformats.org/officeDocument/2006/relationships/hyperlink" Target="https://ojairecovery.com/tag/aetna-cover-addiction-treatment/" TargetMode="External"/><Relationship Id="rId305" Type="http://schemas.openxmlformats.org/officeDocument/2006/relationships/hyperlink" Target="https://ojairecovery.com/mental-health-support/" TargetMode="External"/><Relationship Id="rId426" Type="http://schemas.openxmlformats.org/officeDocument/2006/relationships/hyperlink" Target="https://ojairecovery.com/programs/" TargetMode="External"/><Relationship Id="rId547" Type="http://schemas.openxmlformats.org/officeDocument/2006/relationships/hyperlink" Target="https://ojairecovery.com/what-to-expect-during-a-medically-supervised-detox-at-ojai-recovery/" TargetMode="External"/><Relationship Id="rId304" Type="http://schemas.openxmlformats.org/officeDocument/2006/relationships/hyperlink" Target="https://ojairecovery.com/medical-supervision-safety/" TargetMode="External"/><Relationship Id="rId425" Type="http://schemas.openxmlformats.org/officeDocument/2006/relationships/hyperlink" Target="https://ojairecovery.com/programs/" TargetMode="External"/><Relationship Id="rId546" Type="http://schemas.openxmlformats.org/officeDocument/2006/relationships/hyperlink" Target="https://ojairecovery.com/what-to-expect-during-a-medically-supervised-detox-at-ojai-recovery/" TargetMode="External"/><Relationship Id="rId303" Type="http://schemas.openxmlformats.org/officeDocument/2006/relationships/hyperlink" Target="https://ojairecovery.com/medical-supervision-safety/" TargetMode="External"/><Relationship Id="rId424" Type="http://schemas.openxmlformats.org/officeDocument/2006/relationships/hyperlink" Target="https://ojairecovery.com/programs/" TargetMode="External"/><Relationship Id="rId545" Type="http://schemas.openxmlformats.org/officeDocument/2006/relationships/hyperlink" Target="https://ojairecovery.com/detox-services/" TargetMode="External"/><Relationship Id="rId302" Type="http://schemas.openxmlformats.org/officeDocument/2006/relationships/hyperlink" Target="https://ojairecovery.com/medical-supervision-safety/" TargetMode="External"/><Relationship Id="rId423" Type="http://schemas.openxmlformats.org/officeDocument/2006/relationships/hyperlink" Target="https://ojairecovery.com/prime-health-services-substance-abuse-coverage/" TargetMode="External"/><Relationship Id="rId544" Type="http://schemas.openxmlformats.org/officeDocument/2006/relationships/hyperlink" Target="https://ojairecovery.com/what-to-expect-during-a-medically-supervised-detox-at-ojai-recovery/" TargetMode="External"/><Relationship Id="rId309" Type="http://schemas.openxmlformats.org/officeDocument/2006/relationships/hyperlink" Target="https://ojairecovery.com/mhn-insurance-for-mental-health-services/" TargetMode="External"/><Relationship Id="rId308" Type="http://schemas.openxmlformats.org/officeDocument/2006/relationships/hyperlink" Target="https://ojairecovery.com/mhn-insurance-for-mental-health-services/" TargetMode="External"/><Relationship Id="rId429" Type="http://schemas.openxmlformats.org/officeDocument/2006/relationships/hyperlink" Target="https://ojairecovery.com/psychiatric-residential-treatment-facility-for-adults/" TargetMode="External"/><Relationship Id="rId307" Type="http://schemas.openxmlformats.org/officeDocument/2006/relationships/hyperlink" Target="https://ojairecovery.com/mental-health-support/" TargetMode="External"/><Relationship Id="rId428" Type="http://schemas.openxmlformats.org/officeDocument/2006/relationships/hyperlink" Target="https://ojairecovery.com/psychiatric-residential-treatment-facility-for-adults/" TargetMode="External"/><Relationship Id="rId549" Type="http://schemas.openxmlformats.org/officeDocument/2006/relationships/hyperlink" Target="https://ojairecovery.com/which-insurance-plans-cover-luxury-rehab/" TargetMode="External"/><Relationship Id="rId306" Type="http://schemas.openxmlformats.org/officeDocument/2006/relationships/hyperlink" Target="https://ojairecovery.com/mental-health-support/" TargetMode="External"/><Relationship Id="rId427" Type="http://schemas.openxmlformats.org/officeDocument/2006/relationships/hyperlink" Target="https://ojairecovery.com/psychiatric-residential-treatment-facility-for-adults/" TargetMode="External"/><Relationship Id="rId548" Type="http://schemas.openxmlformats.org/officeDocument/2006/relationships/hyperlink" Target="https://ojairecovery.com/which-insurance-plans-cover-luxury-rehab/" TargetMode="External"/><Relationship Id="rId301" Type="http://schemas.openxmlformats.org/officeDocument/2006/relationships/hyperlink" Target="https://ojairecovery.com/marijuana-use-disorder-treatment/" TargetMode="External"/><Relationship Id="rId422" Type="http://schemas.openxmlformats.org/officeDocument/2006/relationships/hyperlink" Target="https://ojairecovery.com/prime-health-services-substance-abuse-coverage/" TargetMode="External"/><Relationship Id="rId543" Type="http://schemas.openxmlformats.org/officeDocument/2006/relationships/hyperlink" Target="https://ojairecovery.com/what-makes-ojai-recovery-s-detox-environment-different-from-a-hospital-setting/" TargetMode="External"/><Relationship Id="rId300" Type="http://schemas.openxmlformats.org/officeDocument/2006/relationships/hyperlink" Target="https://ojairecovery.com/marijuana-use-disorder-treatment/" TargetMode="External"/><Relationship Id="rId421" Type="http://schemas.openxmlformats.org/officeDocument/2006/relationships/hyperlink" Target="https://ojairecovery.com/prime-health-services-substance-abuse-coverage/" TargetMode="External"/><Relationship Id="rId542" Type="http://schemas.openxmlformats.org/officeDocument/2006/relationships/hyperlink" Target="https://ojairecovery.com/what-makes-ojai-recovery-s-detox-environment-different-from-a-hospital-setting/" TargetMode="External"/><Relationship Id="rId420" Type="http://schemas.openxmlformats.org/officeDocument/2006/relationships/hyperlink" Target="https://ojairecovery.com/prescription-drug-addiction-treatment/" TargetMode="External"/><Relationship Id="rId541" Type="http://schemas.openxmlformats.org/officeDocument/2006/relationships/hyperlink" Target="https://ojairecovery.com/what-makes-ojai-recovery-s-detox-environment-different-from-a-hospital-setting/" TargetMode="External"/><Relationship Id="rId540" Type="http://schemas.openxmlformats.org/officeDocument/2006/relationships/hyperlink" Target="https://ojairecovery.com/what-insurance-covers-inpatient-mental-health-care/" TargetMode="External"/><Relationship Id="rId415" Type="http://schemas.openxmlformats.org/officeDocument/2006/relationships/hyperlink" Target="https://ojairecovery.com/preparing-for-detox-what-to-pack-what-to-expect-and-what-comes-after/" TargetMode="External"/><Relationship Id="rId536" Type="http://schemas.openxmlformats.org/officeDocument/2006/relationships/hyperlink" Target="https://ojairecovery.com/verify-mental-health-benefits-before-rehab/" TargetMode="External"/><Relationship Id="rId414" Type="http://schemas.openxmlformats.org/officeDocument/2006/relationships/hyperlink" Target="https://ojairecovery.com/premier-drug-alcohol-rehab-in-ojai-ca/" TargetMode="External"/><Relationship Id="rId535" Type="http://schemas.openxmlformats.org/officeDocument/2006/relationships/hyperlink" Target="https://ojairecovery.com/verify-mental-health-benefits-before-rehab/" TargetMode="External"/><Relationship Id="rId413" Type="http://schemas.openxmlformats.org/officeDocument/2006/relationships/hyperlink" Target="https://ojairecovery.com/premier-drug-alcohol-rehab-in-ojai-ca/" TargetMode="External"/><Relationship Id="rId534" Type="http://schemas.openxmlformats.org/officeDocument/2006/relationships/hyperlink" Target="https://ojairecovery.com/verify-insurance/" TargetMode="External"/><Relationship Id="rId412" Type="http://schemas.openxmlformats.org/officeDocument/2006/relationships/hyperlink" Target="https://ojairecovery.com/alcohol-addiction-treatment/" TargetMode="External"/><Relationship Id="rId533" Type="http://schemas.openxmlformats.org/officeDocument/2006/relationships/hyperlink" Target="https://ojairecovery.com/verify-insurance/" TargetMode="External"/><Relationship Id="rId419" Type="http://schemas.openxmlformats.org/officeDocument/2006/relationships/hyperlink" Target="https://ojairecovery.com/prescription-drug-addiction-treatment/" TargetMode="External"/><Relationship Id="rId418" Type="http://schemas.openxmlformats.org/officeDocument/2006/relationships/hyperlink" Target="https://ojairecovery.com/prescription-drug-addiction-treatment/" TargetMode="External"/><Relationship Id="rId539" Type="http://schemas.openxmlformats.org/officeDocument/2006/relationships/hyperlink" Target="https://ojairecovery.com/what-insurance-covers-inpatient-mental-health-care/" TargetMode="External"/><Relationship Id="rId417" Type="http://schemas.openxmlformats.org/officeDocument/2006/relationships/hyperlink" Target="https://ojairecovery.com/preparing-for-detox-what-to-pack-what-to-expect-and-what-comes-after/" TargetMode="External"/><Relationship Id="rId538" Type="http://schemas.openxmlformats.org/officeDocument/2006/relationships/hyperlink" Target="https://ojairecovery.com/what-insurance-covers-inpatient-mental-health-care/" TargetMode="External"/><Relationship Id="rId416" Type="http://schemas.openxmlformats.org/officeDocument/2006/relationships/hyperlink" Target="https://ojairecovery.com/preparing-for-detox-what-to-pack-what-to-expect-and-what-comes-after/" TargetMode="External"/><Relationship Id="rId537" Type="http://schemas.openxmlformats.org/officeDocument/2006/relationships/hyperlink" Target="https://ojairecovery.com/verify-mental-health-benefits-before-rehab/" TargetMode="External"/><Relationship Id="rId411" Type="http://schemas.openxmlformats.org/officeDocument/2006/relationships/hyperlink" Target="https://ojairecovery.com/premier-drug-alcohol-rehab-in-ojai-ca/" TargetMode="External"/><Relationship Id="rId532" Type="http://schemas.openxmlformats.org/officeDocument/2006/relationships/hyperlink" Target="https://ojairecovery.com/verify-insurance/" TargetMode="External"/><Relationship Id="rId410" Type="http://schemas.openxmlformats.org/officeDocument/2006/relationships/hyperlink" Target="https://ojairecovery.com/polysubstance-detox-what-you-need-to-know-when-more-than-one-drug-is-involved/" TargetMode="External"/><Relationship Id="rId531" Type="http://schemas.openxmlformats.org/officeDocument/2006/relationships/hyperlink" Target="https://ojairecovery.com/ventura-county-drug-rehab-comprehensive-inpatient-and-outpatient-options/" TargetMode="External"/><Relationship Id="rId530" Type="http://schemas.openxmlformats.org/officeDocument/2006/relationships/hyperlink" Target="https://ojairecovery.com/ventura-county-drug-rehab-comprehensive-inpatient-and-outpatient-options/" TargetMode="External"/><Relationship Id="rId206" Type="http://schemas.openxmlformats.org/officeDocument/2006/relationships/hyperlink" Target="https://ojairecovery.com/getting-prior-authorization-for-rehab/" TargetMode="External"/><Relationship Id="rId327" Type="http://schemas.openxmlformats.org/officeDocument/2006/relationships/hyperlink" Target="https://ojairecovery.com/outpatient-alcohol-detox-near-me/" TargetMode="External"/><Relationship Id="rId448" Type="http://schemas.openxmlformats.org/officeDocument/2006/relationships/hyperlink" Target="https://ojairecovery.com/rehab-for-drugs-near-me/" TargetMode="External"/><Relationship Id="rId205" Type="http://schemas.openxmlformats.org/officeDocument/2006/relationships/hyperlink" Target="https://ojairecovery.com/getting-prior-authorization-for-rehab/" TargetMode="External"/><Relationship Id="rId326" Type="http://schemas.openxmlformats.org/officeDocument/2006/relationships/hyperlink" Target="https://ojairecovery.com/outpatient-alcohol-detox-near-me/" TargetMode="External"/><Relationship Id="rId447" Type="http://schemas.openxmlformats.org/officeDocument/2006/relationships/hyperlink" Target="https://ojairecovery.com/rehab-for-drugs-near-me/" TargetMode="External"/><Relationship Id="rId204" Type="http://schemas.openxmlformats.org/officeDocument/2006/relationships/hyperlink" Target="https://ojairecovery.com/firstcare-health-plan-detox-and-rehab-coverage/" TargetMode="External"/><Relationship Id="rId325" Type="http://schemas.openxmlformats.org/officeDocument/2006/relationships/hyperlink" Target="https://ojairecovery.com/detox-services/alcohol-detox/" TargetMode="External"/><Relationship Id="rId446" Type="http://schemas.openxmlformats.org/officeDocument/2006/relationships/hyperlink" Target="https://ojairecovery.com/addictions-treated/drug-addiction-treatment" TargetMode="External"/><Relationship Id="rId203" Type="http://schemas.openxmlformats.org/officeDocument/2006/relationships/hyperlink" Target="https://ojairecovery.com/firstcare-health-plan-detox-and-rehab-coverage/" TargetMode="External"/><Relationship Id="rId324" Type="http://schemas.openxmlformats.org/officeDocument/2006/relationships/hyperlink" Target="https://ojairecovery.com/outpatient-alcohol-detox-near-me/" TargetMode="External"/><Relationship Id="rId445" Type="http://schemas.openxmlformats.org/officeDocument/2006/relationships/hyperlink" Target="https://ojairecovery.com/rehab-for-drugs-near-me/" TargetMode="External"/><Relationship Id="rId209" Type="http://schemas.openxmlformats.org/officeDocument/2006/relationships/hyperlink" Target="https://ojairecovery.com/group-therapy/" TargetMode="External"/><Relationship Id="rId208" Type="http://schemas.openxmlformats.org/officeDocument/2006/relationships/hyperlink" Target="https://ojairecovery.com/group-therapy/" TargetMode="External"/><Relationship Id="rId329" Type="http://schemas.openxmlformats.org/officeDocument/2006/relationships/hyperlink" Target="https://ojairecovery.com/detox-services/alcohol-detox/" TargetMode="External"/><Relationship Id="rId207" Type="http://schemas.openxmlformats.org/officeDocument/2006/relationships/hyperlink" Target="https://ojairecovery.com/getting-prior-authorization-for-rehab/" TargetMode="External"/><Relationship Id="rId328" Type="http://schemas.openxmlformats.org/officeDocument/2006/relationships/hyperlink" Target="https://ojairecovery.com/outpatient-alcohol-detox/" TargetMode="External"/><Relationship Id="rId449" Type="http://schemas.openxmlformats.org/officeDocument/2006/relationships/hyperlink" Target="https://ojairecovery.com/rehab-programs-covered-by-hmo-insurance/" TargetMode="External"/><Relationship Id="rId440" Type="http://schemas.openxmlformats.org/officeDocument/2006/relationships/hyperlink" Target="https://ojairecovery.com/rehab-centers-that-accept-multiple-insurance-types/" TargetMode="External"/><Relationship Id="rId202" Type="http://schemas.openxmlformats.org/officeDocument/2006/relationships/hyperlink" Target="https://ojairecovery.com/firstcare-health-plan-detox-and-rehab-coverage/" TargetMode="External"/><Relationship Id="rId323" Type="http://schemas.openxmlformats.org/officeDocument/2006/relationships/hyperlink" Target="https://ojairecovery.com/out-of-network-rehab-insurance-benefits/" TargetMode="External"/><Relationship Id="rId444" Type="http://schemas.openxmlformats.org/officeDocument/2006/relationships/hyperlink" Target="https://ojairecovery.com/rehab-centers-that-accept-private-insurance/" TargetMode="External"/><Relationship Id="rId201" Type="http://schemas.openxmlformats.org/officeDocument/2006/relationships/hyperlink" Target="https://ojairecovery.com/financial-assistance-for-rehab-in-california/" TargetMode="External"/><Relationship Id="rId322" Type="http://schemas.openxmlformats.org/officeDocument/2006/relationships/hyperlink" Target="https://ojairecovery.com/out-of-network-rehab-insurance-benefits/" TargetMode="External"/><Relationship Id="rId443" Type="http://schemas.openxmlformats.org/officeDocument/2006/relationships/hyperlink" Target="https://ojairecovery.com/rehab-centers-that-accept-private-insurance/" TargetMode="External"/><Relationship Id="rId200" Type="http://schemas.openxmlformats.org/officeDocument/2006/relationships/hyperlink" Target="https://ojairecovery.com/financial-assistance-for-rehab-in-california/" TargetMode="External"/><Relationship Id="rId321" Type="http://schemas.openxmlformats.org/officeDocument/2006/relationships/hyperlink" Target="https://ojairecovery.com/out-of-network-rehab-insurance-benefits/" TargetMode="External"/><Relationship Id="rId442" Type="http://schemas.openxmlformats.org/officeDocument/2006/relationships/hyperlink" Target="https://ojairecovery.com/rehab-centers-that-accept-private-insurance/" TargetMode="External"/><Relationship Id="rId320" Type="http://schemas.openxmlformats.org/officeDocument/2006/relationships/hyperlink" Target="https://ojairecovery.com/opioid-addiction-treatment/" TargetMode="External"/><Relationship Id="rId441" Type="http://schemas.openxmlformats.org/officeDocument/2006/relationships/hyperlink" Target="https://ojairecovery.com/rehab-centers-that-accept-multiple-insurance-types/" TargetMode="External"/><Relationship Id="rId316" Type="http://schemas.openxmlformats.org/officeDocument/2006/relationships/hyperlink" Target="https://ojairecovery.com/ojai-alcohol-detox-healing-in-a-peaceful-setting/" TargetMode="External"/><Relationship Id="rId437" Type="http://schemas.openxmlformats.org/officeDocument/2006/relationships/hyperlink" Target="https://ojairecovery.com/rehab-benefits-through-employer-insurance-plans/" TargetMode="External"/><Relationship Id="rId315" Type="http://schemas.openxmlformats.org/officeDocument/2006/relationships/hyperlink" Target="https://ojairecovery.com/detox-services/alcohol-detox/" TargetMode="External"/><Relationship Id="rId436" Type="http://schemas.openxmlformats.org/officeDocument/2006/relationships/hyperlink" Target="https://ojairecovery.com/rehab-benefits-through-employer-insurance-plans/" TargetMode="External"/><Relationship Id="rId314" Type="http://schemas.openxmlformats.org/officeDocument/2006/relationships/hyperlink" Target="https://ojairecovery.com/ojai-alcohol-detox-healing-in-a-peaceful-setting/" TargetMode="External"/><Relationship Id="rId435" Type="http://schemas.openxmlformats.org/officeDocument/2006/relationships/hyperlink" Target="https://ojairecovery.com/recreational-holistic-modalities/" TargetMode="External"/><Relationship Id="rId313" Type="http://schemas.openxmlformats.org/officeDocument/2006/relationships/hyperlink" Target="https://ojairecovery.com/multiplan-accepted-rehab-centers-in-california/" TargetMode="External"/><Relationship Id="rId434" Type="http://schemas.openxmlformats.org/officeDocument/2006/relationships/hyperlink" Target="https://ojairecovery.com/recreational-holistic-modalities/" TargetMode="External"/><Relationship Id="rId319" Type="http://schemas.openxmlformats.org/officeDocument/2006/relationships/hyperlink" Target="https://ojairecovery.com/opioid-addiction-treatment/" TargetMode="External"/><Relationship Id="rId318" Type="http://schemas.openxmlformats.org/officeDocument/2006/relationships/hyperlink" Target="https://ojairecovery.com/opioid-addiction-treatment/" TargetMode="External"/><Relationship Id="rId439" Type="http://schemas.openxmlformats.org/officeDocument/2006/relationships/hyperlink" Target="https://ojairecovery.com/rehab-centers-that-accept-multiple-insurance-types/" TargetMode="External"/><Relationship Id="rId317" Type="http://schemas.openxmlformats.org/officeDocument/2006/relationships/hyperlink" Target="https://ojairecovery.com/ojai-alcohol-detox-healing-in-a-peaceful-setting/" TargetMode="External"/><Relationship Id="rId438" Type="http://schemas.openxmlformats.org/officeDocument/2006/relationships/hyperlink" Target="https://ojairecovery.com/rehab-benefits-through-employer-insurance-plans/" TargetMode="External"/><Relationship Id="rId550" Type="http://schemas.openxmlformats.org/officeDocument/2006/relationships/hyperlink" Target="https://ojairecovery.com/which-insurance-plans-cover-luxury-rehab/" TargetMode="External"/><Relationship Id="rId312" Type="http://schemas.openxmlformats.org/officeDocument/2006/relationships/hyperlink" Target="https://ojairecovery.com/multiplan-accepted-rehab-centers-in-california/" TargetMode="External"/><Relationship Id="rId433" Type="http://schemas.openxmlformats.org/officeDocument/2006/relationships/hyperlink" Target="https://ojairecovery.com/recreational-holistic-modalities/" TargetMode="External"/><Relationship Id="rId311" Type="http://schemas.openxmlformats.org/officeDocument/2006/relationships/hyperlink" Target="https://ojairecovery.com/multiplan-accepted-rehab-centers-in-california/" TargetMode="External"/><Relationship Id="rId432" Type="http://schemas.openxmlformats.org/officeDocument/2006/relationships/hyperlink" Target="https://ojairecovery.com/recreational-experiential-outings/" TargetMode="External"/><Relationship Id="rId310" Type="http://schemas.openxmlformats.org/officeDocument/2006/relationships/hyperlink" Target="https://ojairecovery.com/mhn-insurance-for-mental-health-services/" TargetMode="External"/><Relationship Id="rId431" Type="http://schemas.openxmlformats.org/officeDocument/2006/relationships/hyperlink" Target="https://ojairecovery.com/recreational-experiential-outings/" TargetMode="External"/><Relationship Id="rId430" Type="http://schemas.openxmlformats.org/officeDocument/2006/relationships/hyperlink" Target="https://ojairecovery.com/recreational-experiential-outings/" TargetMode="External"/><Relationship Id="rId55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75"/>
  </cols>
  <sheetData>
    <row r="1">
      <c r="A1" s="1" t="s">
        <v>0</v>
      </c>
      <c r="B1" s="1" t="s">
        <v>1</v>
      </c>
      <c r="C1" s="2" t="s">
        <v>2</v>
      </c>
      <c r="D1" s="3" t="s">
        <v>3</v>
      </c>
      <c r="E1" s="4" t="s">
        <v>4</v>
      </c>
      <c r="F1" s="5" t="s">
        <v>5</v>
      </c>
      <c r="G1" s="5" t="s">
        <v>6</v>
      </c>
      <c r="H1" s="4" t="s">
        <v>4</v>
      </c>
      <c r="I1" s="1" t="s">
        <v>7</v>
      </c>
      <c r="J1" s="4" t="s">
        <v>4</v>
      </c>
      <c r="K1" s="1" t="s">
        <v>8</v>
      </c>
      <c r="L1" s="4" t="s">
        <v>4</v>
      </c>
      <c r="M1" s="1" t="s">
        <v>9</v>
      </c>
      <c r="N1" s="4" t="s">
        <v>4</v>
      </c>
      <c r="O1" s="1" t="s">
        <v>10</v>
      </c>
      <c r="P1" s="4" t="s">
        <v>4</v>
      </c>
      <c r="Q1" s="1" t="s">
        <v>11</v>
      </c>
      <c r="R1" s="4" t="s">
        <v>4</v>
      </c>
      <c r="S1" s="1" t="s">
        <v>12</v>
      </c>
      <c r="T1" s="4" t="s">
        <v>4</v>
      </c>
      <c r="U1" s="1" t="s">
        <v>13</v>
      </c>
      <c r="V1" s="4" t="s">
        <v>4</v>
      </c>
      <c r="W1" s="1" t="s">
        <v>14</v>
      </c>
      <c r="X1" s="4" t="s">
        <v>4</v>
      </c>
      <c r="Y1" s="1" t="s">
        <v>15</v>
      </c>
      <c r="Z1" s="4" t="s">
        <v>4</v>
      </c>
      <c r="AA1" s="1" t="s">
        <v>16</v>
      </c>
      <c r="AB1" s="4" t="s">
        <v>4</v>
      </c>
      <c r="AC1" s="1" t="s">
        <v>17</v>
      </c>
      <c r="AD1" s="4" t="s">
        <v>4</v>
      </c>
      <c r="AE1" s="1" t="s">
        <v>18</v>
      </c>
      <c r="AF1" s="4" t="s">
        <v>4</v>
      </c>
      <c r="AG1" s="1" t="s">
        <v>19</v>
      </c>
      <c r="AH1" s="4" t="s">
        <v>4</v>
      </c>
      <c r="AI1" s="1" t="s">
        <v>20</v>
      </c>
      <c r="AJ1" s="4" t="s">
        <v>4</v>
      </c>
      <c r="AK1" s="1" t="s">
        <v>21</v>
      </c>
      <c r="AL1" s="4" t="s">
        <v>4</v>
      </c>
      <c r="AM1" s="1" t="s">
        <v>22</v>
      </c>
      <c r="AN1" s="4" t="s">
        <v>4</v>
      </c>
      <c r="AO1" s="1" t="s">
        <v>23</v>
      </c>
      <c r="AP1" s="4" t="s">
        <v>4</v>
      </c>
      <c r="AQ1" s="1" t="s">
        <v>24</v>
      </c>
      <c r="AR1" s="4" t="s">
        <v>4</v>
      </c>
      <c r="AS1" s="6" t="s">
        <v>25</v>
      </c>
      <c r="AT1" s="4" t="s">
        <v>4</v>
      </c>
      <c r="AU1" s="1" t="s">
        <v>26</v>
      </c>
      <c r="AV1" s="4" t="s">
        <v>4</v>
      </c>
      <c r="AW1" s="1" t="s">
        <v>27</v>
      </c>
      <c r="AX1" s="4" t="s">
        <v>4</v>
      </c>
      <c r="AY1" s="1" t="s">
        <v>28</v>
      </c>
      <c r="AZ1" s="4" t="s">
        <v>4</v>
      </c>
      <c r="BA1" s="1" t="s">
        <v>29</v>
      </c>
      <c r="BB1" s="4" t="s">
        <v>4</v>
      </c>
      <c r="BC1" s="1" t="s">
        <v>30</v>
      </c>
      <c r="BD1" s="7" t="s">
        <v>31</v>
      </c>
      <c r="BE1" s="7" t="s">
        <v>32</v>
      </c>
      <c r="BF1" s="8"/>
    </row>
    <row r="2">
      <c r="A2" s="8"/>
      <c r="B2" s="9" t="s">
        <v>33</v>
      </c>
      <c r="C2" s="10">
        <v>45441.0</v>
      </c>
      <c r="D2" s="11">
        <f t="shared" ref="D2:D11" si="1">(TODAY()-C2)/365</f>
        <v>1.77260274</v>
      </c>
      <c r="E2" s="12">
        <f t="shared" ref="E2:E11" si="2">RANK(D2,D$2:D$11)</f>
        <v>10</v>
      </c>
      <c r="F2" s="13">
        <v>40493.0</v>
      </c>
      <c r="G2" s="14">
        <f t="shared" ref="G2:G11" si="3">(TODAY()-F2)/365</f>
        <v>15.32876712</v>
      </c>
      <c r="H2" s="12">
        <f t="shared" ref="H2:H11" si="4">RANK(G2,G$2:G$11)</f>
        <v>6</v>
      </c>
      <c r="I2" s="15">
        <v>2.2</v>
      </c>
      <c r="J2" s="12">
        <f t="shared" ref="J2:J11" si="5">RANK(I2,I$2:I$11)</f>
        <v>10</v>
      </c>
      <c r="K2" s="15">
        <v>78.0</v>
      </c>
      <c r="L2" s="12">
        <f t="shared" ref="L2:L11" si="6">RANK(K2,K$2:K$11)</f>
        <v>10</v>
      </c>
      <c r="M2" s="15">
        <v>112.0</v>
      </c>
      <c r="N2" s="12">
        <f t="shared" ref="N2:N11" si="7">RANK(M2,M$2:M$11)</f>
        <v>10</v>
      </c>
      <c r="O2" s="15">
        <v>111.0</v>
      </c>
      <c r="P2" s="12">
        <f t="shared" ref="P2:P11" si="8">RANK(O2,O$2:O$11)</f>
        <v>9</v>
      </c>
      <c r="Q2" s="15">
        <v>29.0</v>
      </c>
      <c r="R2" s="12">
        <f t="shared" ref="R2:R11" si="9">RANK(Q2,Q$2:Q$11)</f>
        <v>1</v>
      </c>
      <c r="S2" s="15">
        <v>15.0</v>
      </c>
      <c r="T2" s="12">
        <f t="shared" ref="T2:T11" si="10">RANK(S2,S$2:S$11)</f>
        <v>7</v>
      </c>
      <c r="U2" s="15">
        <v>27.0</v>
      </c>
      <c r="V2" s="12">
        <f t="shared" ref="V2:V11" si="11">RANK(U2,U$2:U$11)</f>
        <v>10</v>
      </c>
      <c r="W2" s="15">
        <v>158.0</v>
      </c>
      <c r="X2" s="12">
        <f t="shared" ref="X2:X11" si="12">RANK(W2,W$2:W$11)</f>
        <v>9</v>
      </c>
      <c r="Y2" s="15">
        <v>87.0</v>
      </c>
      <c r="Z2" s="12">
        <f t="shared" ref="Z2:Z11" si="13">RANK(Y2,Y$2:Y$11)</f>
        <v>9</v>
      </c>
      <c r="AA2" s="15">
        <v>159.0</v>
      </c>
      <c r="AB2" s="12">
        <f t="shared" ref="AB2:AB11" si="14">RANK(AA2,AA$2:AA$11)</f>
        <v>9</v>
      </c>
      <c r="AC2" s="15">
        <v>1.0</v>
      </c>
      <c r="AD2" s="12">
        <f t="shared" ref="AD2:AD11" si="15">RANK(AC2,AC$2:AC$11)</f>
        <v>8</v>
      </c>
      <c r="AE2" s="15">
        <v>513.0</v>
      </c>
      <c r="AF2" s="12">
        <f t="shared" ref="AF2:AF11" si="16">RANK(AE2,AE$2:AE$11)</f>
        <v>8</v>
      </c>
      <c r="AG2" s="16">
        <f t="shared" ref="AG2:AG11" si="17">W2/D2</f>
        <v>89.13446677</v>
      </c>
      <c r="AH2" s="12">
        <f t="shared" ref="AH2:AH11" si="18">RANK(AG2,AG$2:AG$11)</f>
        <v>4</v>
      </c>
      <c r="AI2" s="16">
        <f t="shared" ref="AI2:AI11" si="19">AC2/D2</f>
        <v>0.5641421947</v>
      </c>
      <c r="AJ2" s="12">
        <f t="shared" ref="AJ2:AJ11" si="20">RANK(AI2,AI$2:AI$11)</f>
        <v>8</v>
      </c>
      <c r="AK2" s="16">
        <f t="shared" ref="AK2:AK11" si="21">K2/D2</f>
        <v>44.00309119</v>
      </c>
      <c r="AL2" s="12">
        <f t="shared" ref="AL2:AL11" si="22">RANK(AK2,AK$2:AK$11)</f>
        <v>3</v>
      </c>
      <c r="AM2" s="16">
        <f t="shared" ref="AM2:AM11" si="23">O2/D2</f>
        <v>62.61978362</v>
      </c>
      <c r="AN2" s="12">
        <f t="shared" ref="AN2:AN11" si="24">RANK(AM2,AM$2:AM$11)</f>
        <v>3</v>
      </c>
      <c r="AO2" s="16">
        <f t="shared" ref="AO2:AO11" si="25">AE2/W2</f>
        <v>3.246835443</v>
      </c>
      <c r="AP2" s="12">
        <f t="shared" ref="AP2:AP11" si="26">RANK(AO2,AO$2:AO$11)</f>
        <v>5</v>
      </c>
      <c r="AQ2" s="16">
        <f>AE2/AC2</f>
        <v>513</v>
      </c>
      <c r="AR2" s="12">
        <f t="shared" ref="AR2:AR11" si="27">RANK(AQ2,AQ$2:AQ$11)</f>
        <v>3</v>
      </c>
      <c r="AS2" s="17">
        <f t="shared" ref="AS2:AS11" si="28">S2/U2</f>
        <v>0.5555555556</v>
      </c>
      <c r="AT2" s="12">
        <f t="shared" ref="AT2:AT11" si="29">RANK(AS2,AS$2:AS$11)</f>
        <v>1</v>
      </c>
      <c r="AU2" s="16">
        <f t="shared" ref="AU2:AU11" si="30">AE2/K2</f>
        <v>6.576923077</v>
      </c>
      <c r="AV2" s="12">
        <f t="shared" ref="AV2:AV11" si="31">RANK(AU2,AU$2:AU$11)</f>
        <v>7</v>
      </c>
      <c r="AW2" s="16">
        <f t="shared" ref="AW2:AW11" si="32">AE2/O2</f>
        <v>4.621621622</v>
      </c>
      <c r="AX2" s="12">
        <f t="shared" ref="AX2:AX11" si="33">RANK(AW2,AW$2:AW$11)</f>
        <v>5</v>
      </c>
      <c r="AY2" s="16">
        <f t="shared" ref="AY2:AY11" si="34">M2/K2</f>
        <v>1.435897436</v>
      </c>
      <c r="AZ2" s="12">
        <f t="shared" ref="AZ2:AZ11" si="35">RANK(AY2,AY$2:AY$11)</f>
        <v>10</v>
      </c>
      <c r="BA2" s="18">
        <f t="shared" ref="BA2:BA11" si="36">AA2/W2</f>
        <v>1.006329114</v>
      </c>
      <c r="BB2" s="12">
        <f t="shared" ref="BB2:BB11" si="37">RANK(BA2,BA$2:BA$11)</f>
        <v>2</v>
      </c>
      <c r="BC2" s="19">
        <f t="shared" ref="BC2:BC11" si="38">SUM(BB2,AZ2,AX2,AV2,AT2,AR2,AP2,AN2,AL2,AJ2,AH2,AF2,AD2,AB2,Z2,X2,V2,T2,R2,P2,N2,L2,J2,H2,E2)</f>
        <v>167</v>
      </c>
      <c r="BD2" s="19">
        <f t="shared" ref="BD2:BD11" si="39">AVERAGE(BB2,AZ2,AX2,AV2,AT2,AR2,AP2,AN2,AL2,AJ2,AH2,AF2,AD2,AB2,Z2,X2,V2,T2,R2,P2,N2,L2,J2,H2,E2)</f>
        <v>6.68</v>
      </c>
      <c r="BE2" s="15">
        <f t="shared" ref="BE2:BE11" si="40">RANK(BC2, BC$2:BC$11, TRUE)</f>
        <v>8</v>
      </c>
      <c r="BF2" s="8"/>
    </row>
    <row r="3">
      <c r="A3" s="8"/>
      <c r="B3" s="20" t="s">
        <v>34</v>
      </c>
      <c r="C3" s="21">
        <v>39663.0</v>
      </c>
      <c r="D3" s="11">
        <f t="shared" si="1"/>
        <v>17.60273973</v>
      </c>
      <c r="E3" s="12">
        <f t="shared" si="2"/>
        <v>5</v>
      </c>
      <c r="F3" s="22">
        <v>40012.0</v>
      </c>
      <c r="G3" s="14">
        <f t="shared" si="3"/>
        <v>16.64657534</v>
      </c>
      <c r="H3" s="12">
        <f t="shared" si="4"/>
        <v>5</v>
      </c>
      <c r="I3" s="15">
        <v>39.0</v>
      </c>
      <c r="J3" s="12">
        <f t="shared" si="5"/>
        <v>2</v>
      </c>
      <c r="K3" s="15">
        <v>374.0</v>
      </c>
      <c r="L3" s="12">
        <f t="shared" si="6"/>
        <v>4</v>
      </c>
      <c r="M3" s="15">
        <v>3496.0</v>
      </c>
      <c r="N3" s="12">
        <f t="shared" si="7"/>
        <v>3</v>
      </c>
      <c r="O3" s="15">
        <v>375.0</v>
      </c>
      <c r="P3" s="12">
        <f t="shared" si="8"/>
        <v>4</v>
      </c>
      <c r="Q3" s="15">
        <v>15.0</v>
      </c>
      <c r="R3" s="12">
        <f t="shared" si="9"/>
        <v>8</v>
      </c>
      <c r="S3" s="15">
        <v>33.0</v>
      </c>
      <c r="T3" s="12">
        <f t="shared" si="10"/>
        <v>3</v>
      </c>
      <c r="U3" s="15">
        <v>183.0</v>
      </c>
      <c r="V3" s="12">
        <f t="shared" si="11"/>
        <v>4</v>
      </c>
      <c r="W3" s="15">
        <v>1241.0</v>
      </c>
      <c r="X3" s="12">
        <f t="shared" si="12"/>
        <v>5</v>
      </c>
      <c r="Y3" s="15">
        <v>452.0</v>
      </c>
      <c r="Z3" s="12">
        <f t="shared" si="13"/>
        <v>5</v>
      </c>
      <c r="AA3" s="15">
        <v>1215.0</v>
      </c>
      <c r="AB3" s="12">
        <f t="shared" si="14"/>
        <v>5</v>
      </c>
      <c r="AC3" s="15">
        <v>90.0</v>
      </c>
      <c r="AD3" s="12">
        <f t="shared" si="15"/>
        <v>3</v>
      </c>
      <c r="AE3" s="15">
        <v>2781.0</v>
      </c>
      <c r="AF3" s="12">
        <f t="shared" si="16"/>
        <v>5</v>
      </c>
      <c r="AG3" s="16">
        <f t="shared" si="17"/>
        <v>70.50038911</v>
      </c>
      <c r="AH3" s="12">
        <f t="shared" si="18"/>
        <v>6</v>
      </c>
      <c r="AI3" s="16">
        <f t="shared" si="19"/>
        <v>5.112840467</v>
      </c>
      <c r="AJ3" s="12">
        <f t="shared" si="20"/>
        <v>3</v>
      </c>
      <c r="AK3" s="16">
        <f t="shared" si="21"/>
        <v>21.24669261</v>
      </c>
      <c r="AL3" s="12">
        <f t="shared" si="22"/>
        <v>8</v>
      </c>
      <c r="AM3" s="16">
        <f t="shared" si="23"/>
        <v>21.30350195</v>
      </c>
      <c r="AN3" s="12">
        <f t="shared" si="24"/>
        <v>7</v>
      </c>
      <c r="AO3" s="16">
        <f t="shared" si="25"/>
        <v>2.24093473</v>
      </c>
      <c r="AP3" s="12">
        <f t="shared" si="26"/>
        <v>8</v>
      </c>
      <c r="AQ3" s="16">
        <v>0.0</v>
      </c>
      <c r="AR3" s="12">
        <f t="shared" si="27"/>
        <v>10</v>
      </c>
      <c r="AS3" s="17">
        <f t="shared" si="28"/>
        <v>0.1803278689</v>
      </c>
      <c r="AT3" s="12">
        <f t="shared" si="29"/>
        <v>5</v>
      </c>
      <c r="AU3" s="16">
        <f t="shared" si="30"/>
        <v>7.435828877</v>
      </c>
      <c r="AV3" s="12">
        <f t="shared" si="31"/>
        <v>6</v>
      </c>
      <c r="AW3" s="16">
        <f t="shared" si="32"/>
        <v>7.416</v>
      </c>
      <c r="AX3" s="12">
        <f t="shared" si="33"/>
        <v>4</v>
      </c>
      <c r="AY3" s="16">
        <f t="shared" si="34"/>
        <v>9.347593583</v>
      </c>
      <c r="AZ3" s="12">
        <f t="shared" si="35"/>
        <v>1</v>
      </c>
      <c r="BA3" s="18">
        <f t="shared" si="36"/>
        <v>0.9790491539</v>
      </c>
      <c r="BB3" s="12">
        <f t="shared" si="37"/>
        <v>9</v>
      </c>
      <c r="BC3" s="19">
        <f t="shared" si="38"/>
        <v>128</v>
      </c>
      <c r="BD3" s="19">
        <f t="shared" si="39"/>
        <v>5.12</v>
      </c>
      <c r="BE3" s="15">
        <f t="shared" si="40"/>
        <v>5</v>
      </c>
      <c r="BF3" s="8"/>
    </row>
    <row r="4">
      <c r="A4" s="8"/>
      <c r="B4" s="20" t="s">
        <v>35</v>
      </c>
      <c r="C4" s="21">
        <v>36064.0</v>
      </c>
      <c r="D4" s="11">
        <f t="shared" si="1"/>
        <v>27.4630137</v>
      </c>
      <c r="E4" s="12">
        <f t="shared" si="2"/>
        <v>2</v>
      </c>
      <c r="F4" s="22">
        <v>36185.0</v>
      </c>
      <c r="G4" s="14">
        <f t="shared" si="3"/>
        <v>27.13150685</v>
      </c>
      <c r="H4" s="12">
        <f t="shared" si="4"/>
        <v>1</v>
      </c>
      <c r="I4" s="15">
        <v>37.0</v>
      </c>
      <c r="J4" s="12">
        <f t="shared" si="5"/>
        <v>3</v>
      </c>
      <c r="K4" s="15">
        <v>920.0</v>
      </c>
      <c r="L4" s="12">
        <f t="shared" si="6"/>
        <v>1</v>
      </c>
      <c r="M4" s="15">
        <v>5092.0</v>
      </c>
      <c r="N4" s="12">
        <f t="shared" si="7"/>
        <v>1</v>
      </c>
      <c r="O4" s="15">
        <v>1730.0</v>
      </c>
      <c r="P4" s="12">
        <f t="shared" si="8"/>
        <v>1</v>
      </c>
      <c r="Q4" s="15">
        <v>23.0</v>
      </c>
      <c r="R4" s="12">
        <f t="shared" si="9"/>
        <v>3</v>
      </c>
      <c r="S4" s="15">
        <v>24.0</v>
      </c>
      <c r="T4" s="12">
        <f t="shared" si="10"/>
        <v>4</v>
      </c>
      <c r="U4" s="15">
        <v>437.0</v>
      </c>
      <c r="V4" s="12">
        <f t="shared" si="11"/>
        <v>2</v>
      </c>
      <c r="W4" s="15">
        <v>2279.0</v>
      </c>
      <c r="X4" s="12">
        <f t="shared" si="12"/>
        <v>2</v>
      </c>
      <c r="Y4" s="15">
        <v>1023.0</v>
      </c>
      <c r="Z4" s="12">
        <f t="shared" si="13"/>
        <v>3</v>
      </c>
      <c r="AA4" s="15">
        <v>2241.0</v>
      </c>
      <c r="AB4" s="12">
        <f t="shared" si="14"/>
        <v>2</v>
      </c>
      <c r="AC4" s="15">
        <v>117.0</v>
      </c>
      <c r="AD4" s="12">
        <f t="shared" si="15"/>
        <v>2</v>
      </c>
      <c r="AE4" s="15">
        <v>17765.0</v>
      </c>
      <c r="AF4" s="12">
        <f t="shared" si="16"/>
        <v>1</v>
      </c>
      <c r="AG4" s="16">
        <f t="shared" si="17"/>
        <v>82.98433759</v>
      </c>
      <c r="AH4" s="12">
        <f t="shared" si="18"/>
        <v>5</v>
      </c>
      <c r="AI4" s="16">
        <f t="shared" si="19"/>
        <v>4.260275339</v>
      </c>
      <c r="AJ4" s="12">
        <f t="shared" si="20"/>
        <v>4</v>
      </c>
      <c r="AK4" s="16">
        <f t="shared" si="21"/>
        <v>33.49960096</v>
      </c>
      <c r="AL4" s="12">
        <f t="shared" si="22"/>
        <v>4</v>
      </c>
      <c r="AM4" s="16">
        <f t="shared" si="23"/>
        <v>62.99381484</v>
      </c>
      <c r="AN4" s="12">
        <f t="shared" si="24"/>
        <v>2</v>
      </c>
      <c r="AO4" s="16">
        <f t="shared" si="25"/>
        <v>7.795085564</v>
      </c>
      <c r="AP4" s="12">
        <f t="shared" si="26"/>
        <v>1</v>
      </c>
      <c r="AQ4" s="16">
        <f t="shared" ref="AQ4:AQ11" si="41">AE4/AC4</f>
        <v>151.8376068</v>
      </c>
      <c r="AR4" s="12">
        <f t="shared" si="27"/>
        <v>4</v>
      </c>
      <c r="AS4" s="17">
        <f t="shared" si="28"/>
        <v>0.05491990847</v>
      </c>
      <c r="AT4" s="12">
        <f t="shared" si="29"/>
        <v>10</v>
      </c>
      <c r="AU4" s="16">
        <f t="shared" si="30"/>
        <v>19.30978261</v>
      </c>
      <c r="AV4" s="12">
        <f t="shared" si="31"/>
        <v>2</v>
      </c>
      <c r="AW4" s="16">
        <f t="shared" si="32"/>
        <v>10.26878613</v>
      </c>
      <c r="AX4" s="12">
        <f t="shared" si="33"/>
        <v>3</v>
      </c>
      <c r="AY4" s="16">
        <f t="shared" si="34"/>
        <v>5.534782609</v>
      </c>
      <c r="AZ4" s="12">
        <f t="shared" si="35"/>
        <v>4</v>
      </c>
      <c r="BA4" s="18">
        <f t="shared" si="36"/>
        <v>0.9833260202</v>
      </c>
      <c r="BB4" s="12">
        <f t="shared" si="37"/>
        <v>8</v>
      </c>
      <c r="BC4" s="19">
        <f t="shared" si="38"/>
        <v>75</v>
      </c>
      <c r="BD4" s="19">
        <f t="shared" si="39"/>
        <v>3</v>
      </c>
      <c r="BE4" s="15">
        <f t="shared" si="40"/>
        <v>1</v>
      </c>
      <c r="BF4" s="8"/>
    </row>
    <row r="5">
      <c r="A5" s="8"/>
      <c r="B5" s="20" t="s">
        <v>36</v>
      </c>
      <c r="C5" s="21">
        <v>44301.0</v>
      </c>
      <c r="D5" s="11">
        <f t="shared" si="1"/>
        <v>4.895890411</v>
      </c>
      <c r="E5" s="12">
        <f t="shared" si="2"/>
        <v>8</v>
      </c>
      <c r="F5" s="23">
        <v>44340.0</v>
      </c>
      <c r="G5" s="14">
        <f t="shared" si="3"/>
        <v>4.789041096</v>
      </c>
      <c r="H5" s="12">
        <f t="shared" si="4"/>
        <v>9</v>
      </c>
      <c r="I5" s="15">
        <v>23.0</v>
      </c>
      <c r="J5" s="12">
        <f t="shared" si="5"/>
        <v>6</v>
      </c>
      <c r="K5" s="15">
        <v>428.0</v>
      </c>
      <c r="L5" s="12">
        <f t="shared" si="6"/>
        <v>3</v>
      </c>
      <c r="M5" s="15">
        <v>1431.0</v>
      </c>
      <c r="N5" s="12">
        <f t="shared" si="7"/>
        <v>5</v>
      </c>
      <c r="O5" s="15">
        <v>325.0</v>
      </c>
      <c r="P5" s="12">
        <f t="shared" si="8"/>
        <v>6</v>
      </c>
      <c r="Q5" s="15">
        <v>22.0</v>
      </c>
      <c r="R5" s="12">
        <f t="shared" si="9"/>
        <v>4</v>
      </c>
      <c r="S5" s="15">
        <v>53.0</v>
      </c>
      <c r="T5" s="12">
        <f t="shared" si="10"/>
        <v>2</v>
      </c>
      <c r="U5" s="15">
        <v>220.0</v>
      </c>
      <c r="V5" s="12">
        <f t="shared" si="11"/>
        <v>3</v>
      </c>
      <c r="W5" s="15">
        <v>1665.0</v>
      </c>
      <c r="X5" s="12">
        <f t="shared" si="12"/>
        <v>3</v>
      </c>
      <c r="Y5" s="15">
        <v>1047.0</v>
      </c>
      <c r="Z5" s="12">
        <f t="shared" si="13"/>
        <v>2</v>
      </c>
      <c r="AA5" s="15">
        <v>1654.0</v>
      </c>
      <c r="AB5" s="12">
        <f t="shared" si="14"/>
        <v>3</v>
      </c>
      <c r="AC5" s="15">
        <v>13.0</v>
      </c>
      <c r="AD5" s="12">
        <f t="shared" si="15"/>
        <v>6</v>
      </c>
      <c r="AE5" s="15">
        <v>8559.0</v>
      </c>
      <c r="AF5" s="12">
        <f t="shared" si="16"/>
        <v>2</v>
      </c>
      <c r="AG5" s="16">
        <f t="shared" si="17"/>
        <v>340.0811416</v>
      </c>
      <c r="AH5" s="12">
        <f t="shared" si="18"/>
        <v>1</v>
      </c>
      <c r="AI5" s="16">
        <f t="shared" si="19"/>
        <v>2.655288193</v>
      </c>
      <c r="AJ5" s="12">
        <f t="shared" si="20"/>
        <v>5</v>
      </c>
      <c r="AK5" s="16">
        <f t="shared" si="21"/>
        <v>87.42025741</v>
      </c>
      <c r="AL5" s="12">
        <f t="shared" si="22"/>
        <v>1</v>
      </c>
      <c r="AM5" s="16">
        <f t="shared" si="23"/>
        <v>66.38220481</v>
      </c>
      <c r="AN5" s="12">
        <f t="shared" si="24"/>
        <v>1</v>
      </c>
      <c r="AO5" s="16">
        <f t="shared" si="25"/>
        <v>5.140540541</v>
      </c>
      <c r="AP5" s="12">
        <f t="shared" si="26"/>
        <v>2</v>
      </c>
      <c r="AQ5" s="16">
        <f t="shared" si="41"/>
        <v>658.3846154</v>
      </c>
      <c r="AR5" s="12">
        <f t="shared" si="27"/>
        <v>2</v>
      </c>
      <c r="AS5" s="17">
        <f t="shared" si="28"/>
        <v>0.2409090909</v>
      </c>
      <c r="AT5" s="12">
        <f t="shared" si="29"/>
        <v>3</v>
      </c>
      <c r="AU5" s="16">
        <f t="shared" si="30"/>
        <v>19.99766355</v>
      </c>
      <c r="AV5" s="12">
        <f t="shared" si="31"/>
        <v>1</v>
      </c>
      <c r="AW5" s="16">
        <f t="shared" si="32"/>
        <v>26.33538462</v>
      </c>
      <c r="AX5" s="12">
        <f t="shared" si="33"/>
        <v>1</v>
      </c>
      <c r="AY5" s="16">
        <f t="shared" si="34"/>
        <v>3.343457944</v>
      </c>
      <c r="AZ5" s="12">
        <f t="shared" si="35"/>
        <v>8</v>
      </c>
      <c r="BA5" s="18">
        <f t="shared" si="36"/>
        <v>0.9933933934</v>
      </c>
      <c r="BB5" s="12">
        <f t="shared" si="37"/>
        <v>7</v>
      </c>
      <c r="BC5" s="19">
        <f t="shared" si="38"/>
        <v>94</v>
      </c>
      <c r="BD5" s="19">
        <f t="shared" si="39"/>
        <v>3.76</v>
      </c>
      <c r="BE5" s="15">
        <f t="shared" si="40"/>
        <v>3</v>
      </c>
      <c r="BF5" s="8"/>
    </row>
    <row r="6">
      <c r="A6" s="8"/>
      <c r="B6" s="20" t="s">
        <v>37</v>
      </c>
      <c r="C6" s="24">
        <v>44608.0</v>
      </c>
      <c r="D6" s="11">
        <f t="shared" si="1"/>
        <v>4.054794521</v>
      </c>
      <c r="E6" s="12">
        <f t="shared" si="2"/>
        <v>9</v>
      </c>
      <c r="F6" s="22">
        <v>44698.0</v>
      </c>
      <c r="G6" s="14">
        <f t="shared" si="3"/>
        <v>3.808219178</v>
      </c>
      <c r="H6" s="12">
        <f t="shared" si="4"/>
        <v>10</v>
      </c>
      <c r="I6" s="15">
        <v>23.0</v>
      </c>
      <c r="J6" s="12">
        <f t="shared" si="5"/>
        <v>6</v>
      </c>
      <c r="K6" s="15">
        <v>258.0</v>
      </c>
      <c r="L6" s="12">
        <f t="shared" si="6"/>
        <v>7</v>
      </c>
      <c r="M6" s="15">
        <v>973.0</v>
      </c>
      <c r="N6" s="12">
        <f t="shared" si="7"/>
        <v>8</v>
      </c>
      <c r="O6" s="15">
        <v>68.0</v>
      </c>
      <c r="P6" s="12">
        <f t="shared" si="8"/>
        <v>10</v>
      </c>
      <c r="Q6" s="15">
        <v>14.0</v>
      </c>
      <c r="R6" s="12">
        <f t="shared" si="9"/>
        <v>10</v>
      </c>
      <c r="S6" s="15">
        <v>5.0</v>
      </c>
      <c r="T6" s="12">
        <f t="shared" si="10"/>
        <v>10</v>
      </c>
      <c r="U6" s="15">
        <v>57.0</v>
      </c>
      <c r="V6" s="12">
        <f t="shared" si="11"/>
        <v>8</v>
      </c>
      <c r="W6" s="15">
        <v>46.0</v>
      </c>
      <c r="X6" s="12">
        <f t="shared" si="12"/>
        <v>10</v>
      </c>
      <c r="Y6" s="15">
        <v>4.0</v>
      </c>
      <c r="Z6" s="12">
        <f t="shared" si="13"/>
        <v>10</v>
      </c>
      <c r="AA6" s="15">
        <v>46.0</v>
      </c>
      <c r="AB6" s="12">
        <f t="shared" si="14"/>
        <v>10</v>
      </c>
      <c r="AC6" s="15">
        <v>0.1</v>
      </c>
      <c r="AD6" s="12">
        <f t="shared" si="15"/>
        <v>9</v>
      </c>
      <c r="AE6" s="15">
        <v>3.0</v>
      </c>
      <c r="AF6" s="12">
        <f t="shared" si="16"/>
        <v>10</v>
      </c>
      <c r="AG6" s="16">
        <f t="shared" si="17"/>
        <v>11.34459459</v>
      </c>
      <c r="AH6" s="12">
        <f t="shared" si="18"/>
        <v>9</v>
      </c>
      <c r="AI6" s="16">
        <f t="shared" si="19"/>
        <v>0.02466216216</v>
      </c>
      <c r="AJ6" s="12">
        <f t="shared" si="20"/>
        <v>9</v>
      </c>
      <c r="AK6" s="16">
        <f t="shared" si="21"/>
        <v>63.62837838</v>
      </c>
      <c r="AL6" s="12">
        <f t="shared" si="22"/>
        <v>2</v>
      </c>
      <c r="AM6" s="16">
        <f t="shared" si="23"/>
        <v>16.77027027</v>
      </c>
      <c r="AN6" s="12">
        <f t="shared" si="24"/>
        <v>9</v>
      </c>
      <c r="AO6" s="16">
        <f t="shared" si="25"/>
        <v>0.0652173913</v>
      </c>
      <c r="AP6" s="12">
        <f t="shared" si="26"/>
        <v>10</v>
      </c>
      <c r="AQ6" s="16">
        <f t="shared" si="41"/>
        <v>30</v>
      </c>
      <c r="AR6" s="12">
        <f t="shared" si="27"/>
        <v>8</v>
      </c>
      <c r="AS6" s="17">
        <f t="shared" si="28"/>
        <v>0.08771929825</v>
      </c>
      <c r="AT6" s="12">
        <f t="shared" si="29"/>
        <v>8</v>
      </c>
      <c r="AU6" s="16">
        <f t="shared" si="30"/>
        <v>0.01162790698</v>
      </c>
      <c r="AV6" s="12">
        <f t="shared" si="31"/>
        <v>10</v>
      </c>
      <c r="AW6" s="16">
        <f t="shared" si="32"/>
        <v>0.04411764706</v>
      </c>
      <c r="AX6" s="12">
        <f t="shared" si="33"/>
        <v>10</v>
      </c>
      <c r="AY6" s="16">
        <f t="shared" si="34"/>
        <v>3.771317829</v>
      </c>
      <c r="AZ6" s="12">
        <f t="shared" si="35"/>
        <v>7</v>
      </c>
      <c r="BA6" s="18">
        <f t="shared" si="36"/>
        <v>1</v>
      </c>
      <c r="BB6" s="12">
        <f t="shared" si="37"/>
        <v>3</v>
      </c>
      <c r="BC6" s="19">
        <f t="shared" si="38"/>
        <v>212</v>
      </c>
      <c r="BD6" s="19">
        <f t="shared" si="39"/>
        <v>8.48</v>
      </c>
      <c r="BE6" s="15">
        <f t="shared" si="40"/>
        <v>10</v>
      </c>
      <c r="BF6" s="8"/>
    </row>
    <row r="7">
      <c r="A7" s="8"/>
      <c r="B7" s="20" t="s">
        <v>38</v>
      </c>
      <c r="C7" s="24">
        <v>42626.0</v>
      </c>
      <c r="D7" s="11">
        <f t="shared" si="1"/>
        <v>9.484931507</v>
      </c>
      <c r="E7" s="12">
        <f t="shared" si="2"/>
        <v>7</v>
      </c>
      <c r="F7" s="22">
        <v>42883.0</v>
      </c>
      <c r="G7" s="14">
        <f t="shared" si="3"/>
        <v>8.780821918</v>
      </c>
      <c r="H7" s="12">
        <f t="shared" si="4"/>
        <v>8</v>
      </c>
      <c r="I7" s="15">
        <v>23.0</v>
      </c>
      <c r="J7" s="12">
        <f t="shared" si="5"/>
        <v>6</v>
      </c>
      <c r="K7" s="15">
        <v>215.0</v>
      </c>
      <c r="L7" s="12">
        <f t="shared" si="6"/>
        <v>8</v>
      </c>
      <c r="M7" s="15">
        <v>1474.0</v>
      </c>
      <c r="N7" s="12">
        <f t="shared" si="7"/>
        <v>4</v>
      </c>
      <c r="O7" s="15">
        <v>192.0</v>
      </c>
      <c r="P7" s="12">
        <f t="shared" si="8"/>
        <v>8</v>
      </c>
      <c r="Q7" s="15">
        <v>15.0</v>
      </c>
      <c r="R7" s="12">
        <f t="shared" si="9"/>
        <v>8</v>
      </c>
      <c r="S7" s="15">
        <v>13.0</v>
      </c>
      <c r="T7" s="12">
        <f t="shared" si="10"/>
        <v>9</v>
      </c>
      <c r="U7" s="15">
        <v>159.0</v>
      </c>
      <c r="V7" s="12">
        <f t="shared" si="11"/>
        <v>6</v>
      </c>
      <c r="W7" s="15">
        <v>315.0</v>
      </c>
      <c r="X7" s="12">
        <f t="shared" si="12"/>
        <v>7</v>
      </c>
      <c r="Y7" s="15">
        <v>122.0</v>
      </c>
      <c r="Z7" s="12">
        <f t="shared" si="13"/>
        <v>7</v>
      </c>
      <c r="AA7" s="15">
        <v>313.0</v>
      </c>
      <c r="AB7" s="12">
        <f t="shared" si="14"/>
        <v>7</v>
      </c>
      <c r="AC7" s="15">
        <v>6.0</v>
      </c>
      <c r="AD7" s="12">
        <f t="shared" si="15"/>
        <v>7</v>
      </c>
      <c r="AE7" s="15">
        <v>448.0</v>
      </c>
      <c r="AF7" s="12">
        <f t="shared" si="16"/>
        <v>9</v>
      </c>
      <c r="AG7" s="16">
        <f t="shared" si="17"/>
        <v>33.21057192</v>
      </c>
      <c r="AH7" s="12">
        <f t="shared" si="18"/>
        <v>7</v>
      </c>
      <c r="AI7" s="16">
        <f t="shared" si="19"/>
        <v>0.6325823224</v>
      </c>
      <c r="AJ7" s="12">
        <f t="shared" si="20"/>
        <v>7</v>
      </c>
      <c r="AK7" s="16">
        <f t="shared" si="21"/>
        <v>22.66753322</v>
      </c>
      <c r="AL7" s="12">
        <f t="shared" si="22"/>
        <v>7</v>
      </c>
      <c r="AM7" s="16">
        <f t="shared" si="23"/>
        <v>20.24263432</v>
      </c>
      <c r="AN7" s="12">
        <f t="shared" si="24"/>
        <v>8</v>
      </c>
      <c r="AO7" s="16">
        <f t="shared" si="25"/>
        <v>1.422222222</v>
      </c>
      <c r="AP7" s="12">
        <f t="shared" si="26"/>
        <v>9</v>
      </c>
      <c r="AQ7" s="16">
        <f t="shared" si="41"/>
        <v>74.66666667</v>
      </c>
      <c r="AR7" s="12">
        <f t="shared" si="27"/>
        <v>5</v>
      </c>
      <c r="AS7" s="17">
        <f t="shared" si="28"/>
        <v>0.08176100629</v>
      </c>
      <c r="AT7" s="12">
        <f t="shared" si="29"/>
        <v>9</v>
      </c>
      <c r="AU7" s="16">
        <f t="shared" si="30"/>
        <v>2.08372093</v>
      </c>
      <c r="AV7" s="12">
        <f t="shared" si="31"/>
        <v>8</v>
      </c>
      <c r="AW7" s="16">
        <f t="shared" si="32"/>
        <v>2.333333333</v>
      </c>
      <c r="AX7" s="12">
        <f t="shared" si="33"/>
        <v>8</v>
      </c>
      <c r="AY7" s="16">
        <f t="shared" si="34"/>
        <v>6.855813953</v>
      </c>
      <c r="AZ7" s="12">
        <f t="shared" si="35"/>
        <v>2</v>
      </c>
      <c r="BA7" s="18">
        <f t="shared" si="36"/>
        <v>0.9936507937</v>
      </c>
      <c r="BB7" s="12">
        <f t="shared" si="37"/>
        <v>6</v>
      </c>
      <c r="BC7" s="19">
        <f t="shared" si="38"/>
        <v>177</v>
      </c>
      <c r="BD7" s="19">
        <f t="shared" si="39"/>
        <v>7.08</v>
      </c>
      <c r="BE7" s="15">
        <f t="shared" si="40"/>
        <v>9</v>
      </c>
      <c r="BF7" s="8"/>
    </row>
    <row r="8">
      <c r="A8" s="8"/>
      <c r="B8" s="20" t="s">
        <v>39</v>
      </c>
      <c r="C8" s="25">
        <v>42550.0</v>
      </c>
      <c r="D8" s="11">
        <f t="shared" si="1"/>
        <v>9.693150685</v>
      </c>
      <c r="E8" s="12">
        <f t="shared" si="2"/>
        <v>6</v>
      </c>
      <c r="F8" s="22">
        <v>41485.0</v>
      </c>
      <c r="G8" s="14">
        <f t="shared" si="3"/>
        <v>12.6109589</v>
      </c>
      <c r="H8" s="12">
        <f t="shared" si="4"/>
        <v>7</v>
      </c>
      <c r="I8" s="15">
        <v>27.0</v>
      </c>
      <c r="J8" s="12">
        <f t="shared" si="5"/>
        <v>5</v>
      </c>
      <c r="K8" s="15">
        <v>309.0</v>
      </c>
      <c r="L8" s="12">
        <f t="shared" si="6"/>
        <v>6</v>
      </c>
      <c r="M8" s="15">
        <v>1418.0</v>
      </c>
      <c r="N8" s="12">
        <f t="shared" si="7"/>
        <v>6</v>
      </c>
      <c r="O8" s="15">
        <v>345.0</v>
      </c>
      <c r="P8" s="12">
        <f t="shared" si="8"/>
        <v>5</v>
      </c>
      <c r="Q8" s="15">
        <v>18.0</v>
      </c>
      <c r="R8" s="12">
        <f t="shared" si="9"/>
        <v>7</v>
      </c>
      <c r="S8" s="15">
        <v>15.0</v>
      </c>
      <c r="T8" s="12">
        <f t="shared" si="10"/>
        <v>7</v>
      </c>
      <c r="U8" s="15">
        <v>161.0</v>
      </c>
      <c r="V8" s="12">
        <f t="shared" si="11"/>
        <v>5</v>
      </c>
      <c r="W8" s="15">
        <v>1298.0</v>
      </c>
      <c r="X8" s="12">
        <f t="shared" si="12"/>
        <v>4</v>
      </c>
      <c r="Y8" s="15">
        <v>558.0</v>
      </c>
      <c r="Z8" s="12">
        <f t="shared" si="13"/>
        <v>4</v>
      </c>
      <c r="AA8" s="15">
        <v>1260.0</v>
      </c>
      <c r="AB8" s="12">
        <f t="shared" si="14"/>
        <v>4</v>
      </c>
      <c r="AC8" s="15">
        <v>67.0</v>
      </c>
      <c r="AD8" s="12">
        <f t="shared" si="15"/>
        <v>4</v>
      </c>
      <c r="AE8" s="15">
        <v>4540.0</v>
      </c>
      <c r="AF8" s="12">
        <f t="shared" si="16"/>
        <v>4</v>
      </c>
      <c r="AG8" s="16">
        <f t="shared" si="17"/>
        <v>133.9089881</v>
      </c>
      <c r="AH8" s="12">
        <f t="shared" si="18"/>
        <v>2</v>
      </c>
      <c r="AI8" s="16">
        <f t="shared" si="19"/>
        <v>6.91209723</v>
      </c>
      <c r="AJ8" s="12">
        <f t="shared" si="20"/>
        <v>2</v>
      </c>
      <c r="AK8" s="16">
        <f t="shared" si="21"/>
        <v>31.87817976</v>
      </c>
      <c r="AL8" s="12">
        <f t="shared" si="22"/>
        <v>5</v>
      </c>
      <c r="AM8" s="16">
        <f t="shared" si="23"/>
        <v>35.59214245</v>
      </c>
      <c r="AN8" s="12">
        <f t="shared" si="24"/>
        <v>6</v>
      </c>
      <c r="AO8" s="16">
        <f t="shared" si="25"/>
        <v>3.497688752</v>
      </c>
      <c r="AP8" s="12">
        <f t="shared" si="26"/>
        <v>4</v>
      </c>
      <c r="AQ8" s="16">
        <f t="shared" si="41"/>
        <v>67.76119403</v>
      </c>
      <c r="AR8" s="12">
        <f t="shared" si="27"/>
        <v>6</v>
      </c>
      <c r="AS8" s="17">
        <f t="shared" si="28"/>
        <v>0.09316770186</v>
      </c>
      <c r="AT8" s="12">
        <f t="shared" si="29"/>
        <v>7</v>
      </c>
      <c r="AU8" s="16">
        <f t="shared" si="30"/>
        <v>14.69255663</v>
      </c>
      <c r="AV8" s="12">
        <f t="shared" si="31"/>
        <v>3</v>
      </c>
      <c r="AW8" s="16">
        <f t="shared" si="32"/>
        <v>13.15942029</v>
      </c>
      <c r="AX8" s="12">
        <f t="shared" si="33"/>
        <v>2</v>
      </c>
      <c r="AY8" s="16">
        <f t="shared" si="34"/>
        <v>4.588996764</v>
      </c>
      <c r="AZ8" s="12">
        <f t="shared" si="35"/>
        <v>6</v>
      </c>
      <c r="BA8" s="18">
        <f t="shared" si="36"/>
        <v>0.9707241911</v>
      </c>
      <c r="BB8" s="12">
        <f t="shared" si="37"/>
        <v>10</v>
      </c>
      <c r="BC8" s="19">
        <f t="shared" si="38"/>
        <v>127</v>
      </c>
      <c r="BD8" s="19">
        <f t="shared" si="39"/>
        <v>5.08</v>
      </c>
      <c r="BE8" s="15">
        <f t="shared" si="40"/>
        <v>4</v>
      </c>
      <c r="BF8" s="8"/>
    </row>
    <row r="9">
      <c r="A9" s="8"/>
      <c r="B9" s="20" t="s">
        <v>40</v>
      </c>
      <c r="C9" s="24">
        <v>35844.0</v>
      </c>
      <c r="D9" s="11">
        <f t="shared" si="1"/>
        <v>28.06575342</v>
      </c>
      <c r="E9" s="12">
        <f t="shared" si="2"/>
        <v>1</v>
      </c>
      <c r="F9" s="26">
        <v>36493.0</v>
      </c>
      <c r="G9" s="14">
        <f t="shared" si="3"/>
        <v>26.28767123</v>
      </c>
      <c r="H9" s="12">
        <f t="shared" si="4"/>
        <v>2</v>
      </c>
      <c r="I9" s="15">
        <v>31.0</v>
      </c>
      <c r="J9" s="12">
        <f t="shared" si="5"/>
        <v>4</v>
      </c>
      <c r="K9" s="15">
        <v>368.0</v>
      </c>
      <c r="L9" s="12">
        <f t="shared" si="6"/>
        <v>5</v>
      </c>
      <c r="M9" s="15">
        <v>1131.0</v>
      </c>
      <c r="N9" s="12">
        <f t="shared" si="7"/>
        <v>7</v>
      </c>
      <c r="O9" s="15">
        <v>240.0</v>
      </c>
      <c r="P9" s="12">
        <f t="shared" si="8"/>
        <v>7</v>
      </c>
      <c r="Q9" s="15">
        <v>19.0</v>
      </c>
      <c r="R9" s="12">
        <f t="shared" si="9"/>
        <v>5</v>
      </c>
      <c r="S9" s="15">
        <v>18.0</v>
      </c>
      <c r="T9" s="12">
        <f t="shared" si="10"/>
        <v>6</v>
      </c>
      <c r="U9" s="15">
        <v>49.0</v>
      </c>
      <c r="V9" s="12">
        <f t="shared" si="11"/>
        <v>9</v>
      </c>
      <c r="W9" s="15">
        <v>194.0</v>
      </c>
      <c r="X9" s="12">
        <f t="shared" si="12"/>
        <v>8</v>
      </c>
      <c r="Y9" s="15">
        <v>111.0</v>
      </c>
      <c r="Z9" s="12">
        <f t="shared" si="13"/>
        <v>8</v>
      </c>
      <c r="AA9" s="15">
        <v>196.0</v>
      </c>
      <c r="AB9" s="12">
        <f t="shared" si="14"/>
        <v>8</v>
      </c>
      <c r="AC9" s="15">
        <v>0.1</v>
      </c>
      <c r="AD9" s="12">
        <f t="shared" si="15"/>
        <v>9</v>
      </c>
      <c r="AE9" s="15">
        <v>720.0</v>
      </c>
      <c r="AF9" s="12">
        <f t="shared" si="16"/>
        <v>7</v>
      </c>
      <c r="AG9" s="16">
        <f t="shared" si="17"/>
        <v>6.91233893</v>
      </c>
      <c r="AH9" s="12">
        <f t="shared" si="18"/>
        <v>10</v>
      </c>
      <c r="AI9" s="16">
        <f t="shared" si="19"/>
        <v>0.003563061304</v>
      </c>
      <c r="AJ9" s="12">
        <f t="shared" si="20"/>
        <v>10</v>
      </c>
      <c r="AK9" s="16">
        <f t="shared" si="21"/>
        <v>13.1120656</v>
      </c>
      <c r="AL9" s="12">
        <f t="shared" si="22"/>
        <v>9</v>
      </c>
      <c r="AM9" s="16">
        <f t="shared" si="23"/>
        <v>8.55134713</v>
      </c>
      <c r="AN9" s="12">
        <f t="shared" si="24"/>
        <v>10</v>
      </c>
      <c r="AO9" s="16">
        <f t="shared" si="25"/>
        <v>3.711340206</v>
      </c>
      <c r="AP9" s="12">
        <f t="shared" si="26"/>
        <v>3</v>
      </c>
      <c r="AQ9" s="16">
        <f t="shared" si="41"/>
        <v>7200</v>
      </c>
      <c r="AR9" s="12">
        <f t="shared" si="27"/>
        <v>1</v>
      </c>
      <c r="AS9" s="17">
        <f t="shared" si="28"/>
        <v>0.3673469388</v>
      </c>
      <c r="AT9" s="12">
        <f t="shared" si="29"/>
        <v>2</v>
      </c>
      <c r="AU9" s="16">
        <f t="shared" si="30"/>
        <v>1.956521739</v>
      </c>
      <c r="AV9" s="12">
        <f t="shared" si="31"/>
        <v>9</v>
      </c>
      <c r="AW9" s="16">
        <f t="shared" si="32"/>
        <v>3</v>
      </c>
      <c r="AX9" s="12">
        <f t="shared" si="33"/>
        <v>7</v>
      </c>
      <c r="AY9" s="16">
        <f t="shared" si="34"/>
        <v>3.073369565</v>
      </c>
      <c r="AZ9" s="12">
        <f t="shared" si="35"/>
        <v>9</v>
      </c>
      <c r="BA9" s="18">
        <f t="shared" si="36"/>
        <v>1.010309278</v>
      </c>
      <c r="BB9" s="12">
        <f t="shared" si="37"/>
        <v>1</v>
      </c>
      <c r="BC9" s="19">
        <f t="shared" si="38"/>
        <v>157</v>
      </c>
      <c r="BD9" s="19">
        <f t="shared" si="39"/>
        <v>6.28</v>
      </c>
      <c r="BE9" s="15">
        <f t="shared" si="40"/>
        <v>7</v>
      </c>
      <c r="BF9" s="8"/>
    </row>
    <row r="10">
      <c r="A10" s="8"/>
      <c r="B10" s="27" t="s">
        <v>41</v>
      </c>
      <c r="C10" s="25">
        <v>36419.0</v>
      </c>
      <c r="D10" s="11">
        <f t="shared" si="1"/>
        <v>26.49041096</v>
      </c>
      <c r="E10" s="12">
        <f t="shared" si="2"/>
        <v>3</v>
      </c>
      <c r="F10" s="22">
        <v>36866.0</v>
      </c>
      <c r="G10" s="14">
        <f t="shared" si="3"/>
        <v>25.26575342</v>
      </c>
      <c r="H10" s="12">
        <f t="shared" si="4"/>
        <v>3</v>
      </c>
      <c r="I10" s="15">
        <v>42.0</v>
      </c>
      <c r="J10" s="12">
        <f t="shared" si="5"/>
        <v>1</v>
      </c>
      <c r="K10" s="15">
        <v>734.0</v>
      </c>
      <c r="L10" s="12">
        <f t="shared" si="6"/>
        <v>2</v>
      </c>
      <c r="M10" s="15">
        <v>3623.0</v>
      </c>
      <c r="N10" s="12">
        <f t="shared" si="7"/>
        <v>2</v>
      </c>
      <c r="O10" s="15">
        <v>1400.0</v>
      </c>
      <c r="P10" s="12">
        <f t="shared" si="8"/>
        <v>2</v>
      </c>
      <c r="Q10" s="15">
        <v>24.0</v>
      </c>
      <c r="R10" s="12">
        <f t="shared" si="9"/>
        <v>2</v>
      </c>
      <c r="S10" s="15">
        <v>62.0</v>
      </c>
      <c r="T10" s="12">
        <f t="shared" si="10"/>
        <v>1</v>
      </c>
      <c r="U10" s="15">
        <v>547.0</v>
      </c>
      <c r="V10" s="12">
        <f t="shared" si="11"/>
        <v>1</v>
      </c>
      <c r="W10" s="15">
        <v>2576.0</v>
      </c>
      <c r="X10" s="12">
        <f t="shared" si="12"/>
        <v>1</v>
      </c>
      <c r="Y10" s="15">
        <v>1180.0</v>
      </c>
      <c r="Z10" s="12">
        <f t="shared" si="13"/>
        <v>1</v>
      </c>
      <c r="AA10" s="15">
        <v>2575.0</v>
      </c>
      <c r="AB10" s="12">
        <f t="shared" si="14"/>
        <v>1</v>
      </c>
      <c r="AC10" s="15">
        <v>273.0</v>
      </c>
      <c r="AD10" s="12">
        <f t="shared" si="15"/>
        <v>1</v>
      </c>
      <c r="AE10" s="15">
        <v>6011.0</v>
      </c>
      <c r="AF10" s="12">
        <f t="shared" si="16"/>
        <v>3</v>
      </c>
      <c r="AG10" s="16">
        <f t="shared" si="17"/>
        <v>97.24273451</v>
      </c>
      <c r="AH10" s="12">
        <f t="shared" si="18"/>
        <v>3</v>
      </c>
      <c r="AI10" s="16">
        <f t="shared" si="19"/>
        <v>10.30561589</v>
      </c>
      <c r="AJ10" s="12">
        <f t="shared" si="20"/>
        <v>1</v>
      </c>
      <c r="AK10" s="16">
        <f t="shared" si="21"/>
        <v>27.70813941</v>
      </c>
      <c r="AL10" s="12">
        <f t="shared" si="22"/>
        <v>6</v>
      </c>
      <c r="AM10" s="16">
        <f t="shared" si="23"/>
        <v>52.84931223</v>
      </c>
      <c r="AN10" s="12">
        <f t="shared" si="24"/>
        <v>4</v>
      </c>
      <c r="AO10" s="16">
        <f t="shared" si="25"/>
        <v>2.333462733</v>
      </c>
      <c r="AP10" s="12">
        <f t="shared" si="26"/>
        <v>7</v>
      </c>
      <c r="AQ10" s="16">
        <f t="shared" si="41"/>
        <v>22.01831502</v>
      </c>
      <c r="AR10" s="12">
        <f t="shared" si="27"/>
        <v>9</v>
      </c>
      <c r="AS10" s="17">
        <f t="shared" si="28"/>
        <v>0.113345521</v>
      </c>
      <c r="AT10" s="12">
        <f t="shared" si="29"/>
        <v>6</v>
      </c>
      <c r="AU10" s="16">
        <f t="shared" si="30"/>
        <v>8.189373297</v>
      </c>
      <c r="AV10" s="12">
        <f t="shared" si="31"/>
        <v>5</v>
      </c>
      <c r="AW10" s="16">
        <f t="shared" si="32"/>
        <v>4.293571429</v>
      </c>
      <c r="AX10" s="12">
        <f t="shared" si="33"/>
        <v>6</v>
      </c>
      <c r="AY10" s="16">
        <f t="shared" si="34"/>
        <v>4.935967302</v>
      </c>
      <c r="AZ10" s="12">
        <f t="shared" si="35"/>
        <v>5</v>
      </c>
      <c r="BA10" s="18">
        <f t="shared" si="36"/>
        <v>0.9996118012</v>
      </c>
      <c r="BB10" s="12">
        <f t="shared" si="37"/>
        <v>4</v>
      </c>
      <c r="BC10" s="19">
        <f t="shared" si="38"/>
        <v>80</v>
      </c>
      <c r="BD10" s="19">
        <f t="shared" si="39"/>
        <v>3.2</v>
      </c>
      <c r="BE10" s="15">
        <f t="shared" si="40"/>
        <v>2</v>
      </c>
      <c r="BF10" s="8"/>
    </row>
    <row r="11">
      <c r="A11" s="8"/>
      <c r="B11" s="27" t="s">
        <v>42</v>
      </c>
      <c r="C11" s="21">
        <v>39547.0</v>
      </c>
      <c r="D11" s="11">
        <f t="shared" si="1"/>
        <v>17.92054795</v>
      </c>
      <c r="E11" s="12">
        <f t="shared" si="2"/>
        <v>4</v>
      </c>
      <c r="F11" s="22">
        <v>39582.0</v>
      </c>
      <c r="G11" s="14">
        <f t="shared" si="3"/>
        <v>17.82465753</v>
      </c>
      <c r="H11" s="12">
        <f t="shared" si="4"/>
        <v>4</v>
      </c>
      <c r="I11" s="15">
        <v>9.0</v>
      </c>
      <c r="J11" s="12">
        <f t="shared" si="5"/>
        <v>9</v>
      </c>
      <c r="K11" s="15">
        <v>147.0</v>
      </c>
      <c r="L11" s="12">
        <f t="shared" si="6"/>
        <v>9</v>
      </c>
      <c r="M11" s="15">
        <v>821.0</v>
      </c>
      <c r="N11" s="12">
        <f t="shared" si="7"/>
        <v>9</v>
      </c>
      <c r="O11" s="15">
        <v>876.0</v>
      </c>
      <c r="P11" s="12">
        <f t="shared" si="8"/>
        <v>3</v>
      </c>
      <c r="Q11" s="15">
        <v>19.0</v>
      </c>
      <c r="R11" s="12">
        <f t="shared" si="9"/>
        <v>5</v>
      </c>
      <c r="S11" s="15">
        <v>21.0</v>
      </c>
      <c r="T11" s="12">
        <f t="shared" si="10"/>
        <v>5</v>
      </c>
      <c r="U11" s="15">
        <v>88.0</v>
      </c>
      <c r="V11" s="12">
        <f t="shared" si="11"/>
        <v>7</v>
      </c>
      <c r="W11" s="15">
        <v>475.0</v>
      </c>
      <c r="X11" s="12">
        <f t="shared" si="12"/>
        <v>6</v>
      </c>
      <c r="Y11" s="15">
        <v>216.0</v>
      </c>
      <c r="Z11" s="12">
        <f t="shared" si="13"/>
        <v>6</v>
      </c>
      <c r="AA11" s="15">
        <v>472.0</v>
      </c>
      <c r="AB11" s="12">
        <f t="shared" si="14"/>
        <v>6</v>
      </c>
      <c r="AC11" s="15">
        <v>30.0</v>
      </c>
      <c r="AD11" s="12">
        <f t="shared" si="15"/>
        <v>5</v>
      </c>
      <c r="AE11" s="15">
        <v>1284.0</v>
      </c>
      <c r="AF11" s="12">
        <f t="shared" si="16"/>
        <v>6</v>
      </c>
      <c r="AG11" s="16">
        <f t="shared" si="17"/>
        <v>26.50588595</v>
      </c>
      <c r="AH11" s="12">
        <f t="shared" si="18"/>
        <v>8</v>
      </c>
      <c r="AI11" s="16">
        <f t="shared" si="19"/>
        <v>1.674055955</v>
      </c>
      <c r="AJ11" s="12">
        <f t="shared" si="20"/>
        <v>6</v>
      </c>
      <c r="AK11" s="16">
        <f t="shared" si="21"/>
        <v>8.202874178</v>
      </c>
      <c r="AL11" s="12">
        <f t="shared" si="22"/>
        <v>10</v>
      </c>
      <c r="AM11" s="16">
        <f t="shared" si="23"/>
        <v>48.88243388</v>
      </c>
      <c r="AN11" s="12">
        <f t="shared" si="24"/>
        <v>5</v>
      </c>
      <c r="AO11" s="16">
        <f t="shared" si="25"/>
        <v>2.703157895</v>
      </c>
      <c r="AP11" s="12">
        <f t="shared" si="26"/>
        <v>6</v>
      </c>
      <c r="AQ11" s="16">
        <f t="shared" si="41"/>
        <v>42.8</v>
      </c>
      <c r="AR11" s="12">
        <f t="shared" si="27"/>
        <v>7</v>
      </c>
      <c r="AS11" s="17">
        <f t="shared" si="28"/>
        <v>0.2386363636</v>
      </c>
      <c r="AT11" s="12">
        <f t="shared" si="29"/>
        <v>4</v>
      </c>
      <c r="AU11" s="16">
        <f t="shared" si="30"/>
        <v>8.734693878</v>
      </c>
      <c r="AV11" s="12">
        <f t="shared" si="31"/>
        <v>4</v>
      </c>
      <c r="AW11" s="16">
        <f t="shared" si="32"/>
        <v>1.465753425</v>
      </c>
      <c r="AX11" s="12">
        <f t="shared" si="33"/>
        <v>9</v>
      </c>
      <c r="AY11" s="16">
        <f t="shared" si="34"/>
        <v>5.585034014</v>
      </c>
      <c r="AZ11" s="12">
        <f t="shared" si="35"/>
        <v>3</v>
      </c>
      <c r="BA11" s="18">
        <f t="shared" si="36"/>
        <v>0.9936842105</v>
      </c>
      <c r="BB11" s="12">
        <f t="shared" si="37"/>
        <v>5</v>
      </c>
      <c r="BC11" s="19">
        <f t="shared" si="38"/>
        <v>151</v>
      </c>
      <c r="BD11" s="19">
        <f t="shared" si="39"/>
        <v>6.04</v>
      </c>
      <c r="BE11" s="15">
        <f t="shared" si="40"/>
        <v>6</v>
      </c>
      <c r="BF11" s="8"/>
    </row>
    <row r="12">
      <c r="A12" s="28" t="s">
        <v>43</v>
      </c>
      <c r="B12" s="8"/>
      <c r="C12" s="8"/>
      <c r="D12" s="29">
        <f>AVERAGE(D2:D11)</f>
        <v>14.74438356</v>
      </c>
      <c r="E12" s="30"/>
      <c r="F12" s="8"/>
      <c r="G12" s="29">
        <f>AVERAGE(G2:G11)</f>
        <v>15.84739726</v>
      </c>
      <c r="H12" s="8"/>
      <c r="I12" s="29">
        <f>AVERAGE(I2:I11)</f>
        <v>25.62</v>
      </c>
      <c r="J12" s="8"/>
      <c r="K12" s="29">
        <f>AVERAGE(K2:K11)</f>
        <v>383.1</v>
      </c>
      <c r="L12" s="8"/>
      <c r="M12" s="29">
        <f>AVERAGE(M2:M11)</f>
        <v>1957.1</v>
      </c>
      <c r="N12" s="8"/>
      <c r="O12" s="29">
        <f>AVERAGE(O2:O11)</f>
        <v>566.2</v>
      </c>
      <c r="P12" s="8"/>
      <c r="Q12" s="29">
        <f>AVERAGE(Q2:Q11)</f>
        <v>19.8</v>
      </c>
      <c r="R12" s="8"/>
      <c r="S12" s="29">
        <f>AVERAGE(S2:S11)</f>
        <v>25.9</v>
      </c>
      <c r="T12" s="8"/>
      <c r="U12" s="29">
        <f>AVERAGE(U2:U11)</f>
        <v>192.8</v>
      </c>
      <c r="V12" s="8"/>
      <c r="W12" s="29">
        <f>AVERAGE(W2:W11)</f>
        <v>1024.7</v>
      </c>
      <c r="X12" s="8"/>
      <c r="Y12" s="29">
        <f>AVERAGE(Y2:Y11)</f>
        <v>480</v>
      </c>
      <c r="Z12" s="8"/>
      <c r="AA12" s="29">
        <f>AVERAGE(AA2:AA11)</f>
        <v>1013.1</v>
      </c>
      <c r="AB12" s="8"/>
      <c r="AC12" s="29">
        <f>AVERAGE(AC2:AC11)</f>
        <v>59.72</v>
      </c>
      <c r="AD12" s="8"/>
      <c r="AE12" s="29">
        <f>AVERAGE(AE2:AE11)</f>
        <v>4262.4</v>
      </c>
      <c r="AF12" s="8"/>
      <c r="AG12" s="29">
        <f>AVERAGE(AG2:AG11)</f>
        <v>89.18254491</v>
      </c>
      <c r="AH12" s="8"/>
      <c r="AI12" s="29">
        <f>AVERAGE(AI2:AI11)</f>
        <v>3.214512281</v>
      </c>
      <c r="AJ12" s="8"/>
      <c r="AK12" s="29">
        <f>AVERAGE(AK2:AK11)</f>
        <v>35.33668127</v>
      </c>
      <c r="AL12" s="8"/>
      <c r="AM12" s="29">
        <f>AVERAGE(AM2:AM11)</f>
        <v>39.61874455</v>
      </c>
      <c r="AN12" s="8"/>
      <c r="AO12" s="29">
        <f>AVERAGE(AO2:AO11)</f>
        <v>3.215648548</v>
      </c>
      <c r="AP12" s="8"/>
      <c r="AQ12" s="29">
        <f>AVERAGE(AQ2:AQ11)</f>
        <v>876.0468398</v>
      </c>
      <c r="AR12" s="8"/>
      <c r="AS12" s="29">
        <f>AVERAGE(AS2:AS11)</f>
        <v>0.2013689254</v>
      </c>
      <c r="AT12" s="8"/>
      <c r="AU12" s="29">
        <f>AVERAGE(AU2:AU11)</f>
        <v>8.89886925</v>
      </c>
      <c r="AV12" s="8"/>
      <c r="AW12" s="29">
        <f>AVERAGE(AW2:AW11)</f>
        <v>7.293798849</v>
      </c>
      <c r="AX12" s="8"/>
      <c r="AY12" s="29">
        <f>AVERAGE(AY2:AY11)</f>
        <v>4.8472231</v>
      </c>
      <c r="AZ12" s="8"/>
      <c r="BA12" s="29">
        <f>AVERAGE(BA2:BA11)</f>
        <v>0.9930077956</v>
      </c>
      <c r="BB12" s="8"/>
      <c r="BC12" s="29">
        <f>AVERAGE(BC2:BC11)</f>
        <v>136.8</v>
      </c>
      <c r="BD12" s="8"/>
      <c r="BE12" s="8"/>
      <c r="BF12" s="8"/>
    </row>
    <row r="13">
      <c r="A13" s="31" t="s">
        <v>44</v>
      </c>
      <c r="B13" s="8"/>
      <c r="C13" s="8"/>
      <c r="D13" s="32">
        <f>MEDIAN(D2:D11)</f>
        <v>13.64794521</v>
      </c>
      <c r="E13" s="30"/>
      <c r="F13" s="8"/>
      <c r="G13" s="32">
        <f>MEDIAN(G2:G11)</f>
        <v>15.98767123</v>
      </c>
      <c r="H13" s="8"/>
      <c r="I13" s="32">
        <f>MEDIAN(I2:I11)</f>
        <v>25</v>
      </c>
      <c r="J13" s="8"/>
      <c r="K13" s="32">
        <f>MEDIAN(K2:K11)</f>
        <v>338.5</v>
      </c>
      <c r="L13" s="8"/>
      <c r="M13" s="32">
        <f>MEDIAN(M2:M11)</f>
        <v>1424.5</v>
      </c>
      <c r="N13" s="8"/>
      <c r="O13" s="32">
        <f>MEDIAN(O2:O11)</f>
        <v>335</v>
      </c>
      <c r="P13" s="8"/>
      <c r="Q13" s="32">
        <f>MEDIAN(Q2:Q11)</f>
        <v>19</v>
      </c>
      <c r="R13" s="8"/>
      <c r="S13" s="32">
        <f>MEDIAN(S2:S11)</f>
        <v>19.5</v>
      </c>
      <c r="T13" s="8"/>
      <c r="U13" s="32">
        <f>MEDIAN(U2:U11)</f>
        <v>160</v>
      </c>
      <c r="V13" s="8"/>
      <c r="W13" s="32">
        <f>MEDIAN(W2:W11)</f>
        <v>858</v>
      </c>
      <c r="X13" s="8"/>
      <c r="Y13" s="32">
        <f>MEDIAN(Y2:Y11)</f>
        <v>334</v>
      </c>
      <c r="Z13" s="8"/>
      <c r="AA13" s="32">
        <f>MEDIAN(AA2:AA11)</f>
        <v>843.5</v>
      </c>
      <c r="AB13" s="8"/>
      <c r="AC13" s="32">
        <f>MEDIAN(AC2:AC11)</f>
        <v>21.5</v>
      </c>
      <c r="AD13" s="8"/>
      <c r="AE13" s="32">
        <f>MEDIAN(AE2:AE11)</f>
        <v>2032.5</v>
      </c>
      <c r="AF13" s="8"/>
      <c r="AG13" s="32">
        <f>MEDIAN(AG2:AG11)</f>
        <v>76.74236335</v>
      </c>
      <c r="AH13" s="8"/>
      <c r="AI13" s="32">
        <f>MEDIAN(AI2:AI11)</f>
        <v>2.164672074</v>
      </c>
      <c r="AJ13" s="8"/>
      <c r="AK13" s="32">
        <f>MEDIAN(AK2:AK11)</f>
        <v>29.79315959</v>
      </c>
      <c r="AL13" s="8"/>
      <c r="AM13" s="32">
        <f>MEDIAN(AM2:AM11)</f>
        <v>42.23728817</v>
      </c>
      <c r="AN13" s="8"/>
      <c r="AO13" s="32">
        <f>MEDIAN(AO2:AO11)</f>
        <v>2.974996669</v>
      </c>
      <c r="AP13" s="8"/>
      <c r="AQ13" s="32">
        <f>MEDIAN(AQ2:AQ11)</f>
        <v>71.21393035</v>
      </c>
      <c r="AR13" s="8"/>
      <c r="AS13" s="32">
        <f>MEDIAN(AS2:AS11)</f>
        <v>0.1468366949</v>
      </c>
      <c r="AT13" s="8"/>
      <c r="AU13" s="32">
        <f>MEDIAN(AU2:AU11)</f>
        <v>7.812601087</v>
      </c>
      <c r="AV13" s="8"/>
      <c r="AW13" s="32">
        <f>MEDIAN(AW2:AW11)</f>
        <v>4.457596525</v>
      </c>
      <c r="AX13" s="8"/>
      <c r="AY13" s="32">
        <f>MEDIAN(AY2:AY11)</f>
        <v>4.762482033</v>
      </c>
      <c r="AZ13" s="8"/>
      <c r="BA13" s="32">
        <f>MEDIAN(BA2:BA11)</f>
        <v>0.9936675021</v>
      </c>
      <c r="BB13" s="8"/>
      <c r="BC13" s="32">
        <f>MEDIAN(BC2:BC11)</f>
        <v>139.5</v>
      </c>
      <c r="BD13" s="8"/>
      <c r="BE13" s="8"/>
      <c r="BF13" s="8"/>
    </row>
    <row r="14">
      <c r="A14" s="28" t="s">
        <v>45</v>
      </c>
      <c r="B14" s="8"/>
      <c r="C14" s="8"/>
      <c r="D14" s="29">
        <f>MAX(D2:D11)</f>
        <v>28.06575342</v>
      </c>
      <c r="E14" s="30"/>
      <c r="F14" s="8"/>
      <c r="G14" s="29">
        <f>MAX(G2:G11)</f>
        <v>27.13150685</v>
      </c>
      <c r="H14" s="8"/>
      <c r="I14" s="29">
        <f>MAX(I2:I11)</f>
        <v>42</v>
      </c>
      <c r="J14" s="8"/>
      <c r="K14" s="29">
        <f>MAX(K2:K11)</f>
        <v>920</v>
      </c>
      <c r="L14" s="8"/>
      <c r="M14" s="29">
        <f>MAX(M2:M11)</f>
        <v>5092</v>
      </c>
      <c r="N14" s="8"/>
      <c r="O14" s="29">
        <f>MAX(O2:O11)</f>
        <v>1730</v>
      </c>
      <c r="P14" s="8"/>
      <c r="Q14" s="29">
        <f>MAX(Q2:Q11)</f>
        <v>29</v>
      </c>
      <c r="R14" s="8"/>
      <c r="S14" s="29">
        <f>MAX(S2:S11)</f>
        <v>62</v>
      </c>
      <c r="T14" s="8"/>
      <c r="U14" s="29">
        <f>MAX(U2:U11)</f>
        <v>547</v>
      </c>
      <c r="V14" s="8"/>
      <c r="W14" s="29">
        <f>MAX(W2:W11)</f>
        <v>2576</v>
      </c>
      <c r="X14" s="8"/>
      <c r="Y14" s="29">
        <f>MAX(Y2:Y11)</f>
        <v>1180</v>
      </c>
      <c r="Z14" s="8"/>
      <c r="AA14" s="29">
        <f>MAX(AA2:AA11)</f>
        <v>2575</v>
      </c>
      <c r="AB14" s="8"/>
      <c r="AC14" s="29">
        <f>MAX(AC2:AC11)</f>
        <v>273</v>
      </c>
      <c r="AD14" s="8"/>
      <c r="AE14" s="29">
        <f>MAX(AE2:AE11)</f>
        <v>17765</v>
      </c>
      <c r="AF14" s="8"/>
      <c r="AG14" s="29">
        <f>MAX(AG2:AG11)</f>
        <v>340.0811416</v>
      </c>
      <c r="AH14" s="8"/>
      <c r="AI14" s="29">
        <f>MAX(AI2:AI11)</f>
        <v>10.30561589</v>
      </c>
      <c r="AJ14" s="8"/>
      <c r="AK14" s="29">
        <f>MAX(AK2:AK11)</f>
        <v>87.42025741</v>
      </c>
      <c r="AL14" s="8"/>
      <c r="AM14" s="29">
        <f>MAX(AM2:AM11)</f>
        <v>66.38220481</v>
      </c>
      <c r="AN14" s="8"/>
      <c r="AO14" s="29">
        <f>MAX(AO2:AO11)</f>
        <v>7.795085564</v>
      </c>
      <c r="AP14" s="8"/>
      <c r="AQ14" s="29">
        <f>MAX(AQ2:AQ11)</f>
        <v>7200</v>
      </c>
      <c r="AR14" s="8"/>
      <c r="AS14" s="29">
        <f>MAX(AS2:AS11)</f>
        <v>0.5555555556</v>
      </c>
      <c r="AT14" s="8"/>
      <c r="AU14" s="29">
        <f>MAX(AU2:AU11)</f>
        <v>19.99766355</v>
      </c>
      <c r="AV14" s="8"/>
      <c r="AW14" s="29">
        <f>MAX(AW2:AW11)</f>
        <v>26.33538462</v>
      </c>
      <c r="AX14" s="8"/>
      <c r="AY14" s="29">
        <f>MAX(AY2:AY11)</f>
        <v>9.347593583</v>
      </c>
      <c r="AZ14" s="8"/>
      <c r="BA14" s="29">
        <f>MAX(BA2:BA11)</f>
        <v>1.010309278</v>
      </c>
      <c r="BB14" s="8"/>
      <c r="BC14" s="29">
        <f>MAX(BC2:BC11)</f>
        <v>212</v>
      </c>
      <c r="BD14" s="8"/>
      <c r="BE14" s="8"/>
      <c r="BF14" s="8"/>
    </row>
    <row r="15">
      <c r="A15" s="28" t="s">
        <v>46</v>
      </c>
      <c r="B15" s="8"/>
      <c r="C15" s="8"/>
      <c r="D15" s="29">
        <f>MIN(D2:D11)</f>
        <v>1.77260274</v>
      </c>
      <c r="E15" s="30"/>
      <c r="F15" s="8"/>
      <c r="G15" s="29">
        <f>MIN(G2:G11)</f>
        <v>3.808219178</v>
      </c>
      <c r="H15" s="8"/>
      <c r="I15" s="29">
        <f>MIN(I2:I11)</f>
        <v>2.2</v>
      </c>
      <c r="J15" s="8"/>
      <c r="K15" s="29">
        <f>MIN(K2:K11)</f>
        <v>78</v>
      </c>
      <c r="L15" s="8"/>
      <c r="M15" s="29">
        <f>MIN(M2:M11)</f>
        <v>112</v>
      </c>
      <c r="N15" s="8"/>
      <c r="O15" s="29">
        <f>MIN(O2:O11)</f>
        <v>68</v>
      </c>
      <c r="P15" s="8"/>
      <c r="Q15" s="29">
        <f>MIN(Q2:Q11)</f>
        <v>14</v>
      </c>
      <c r="R15" s="8"/>
      <c r="S15" s="29">
        <f>MIN(S2:S11)</f>
        <v>5</v>
      </c>
      <c r="T15" s="8"/>
      <c r="U15" s="29">
        <f>MIN(U2:U11)</f>
        <v>27</v>
      </c>
      <c r="V15" s="8"/>
      <c r="W15" s="29">
        <f>MIN(W2:W11)</f>
        <v>46</v>
      </c>
      <c r="X15" s="8"/>
      <c r="Y15" s="29">
        <f>MIN(Y2:Y11)</f>
        <v>4</v>
      </c>
      <c r="Z15" s="8"/>
      <c r="AA15" s="29">
        <f>MIN(AA2:AA11)</f>
        <v>46</v>
      </c>
      <c r="AB15" s="8"/>
      <c r="AC15" s="29">
        <f>MIN(AC2:AC11)</f>
        <v>0.1</v>
      </c>
      <c r="AD15" s="8"/>
      <c r="AE15" s="29">
        <f>MIN(AE2:AE11)</f>
        <v>3</v>
      </c>
      <c r="AF15" s="8"/>
      <c r="AG15" s="29">
        <f>MIN(AG2:AG11)</f>
        <v>6.91233893</v>
      </c>
      <c r="AH15" s="8"/>
      <c r="AI15" s="29">
        <f>MIN(AI2:AI11)</f>
        <v>0.003563061304</v>
      </c>
      <c r="AJ15" s="8"/>
      <c r="AK15" s="29">
        <f>MIN(AK2:AK11)</f>
        <v>8.202874178</v>
      </c>
      <c r="AL15" s="8"/>
      <c r="AM15" s="29">
        <f>MIN(AM2:AM11)</f>
        <v>8.55134713</v>
      </c>
      <c r="AN15" s="8"/>
      <c r="AO15" s="29">
        <f>MIN(AO2:AO11)</f>
        <v>0.0652173913</v>
      </c>
      <c r="AP15" s="8"/>
      <c r="AQ15" s="29">
        <f>MIN(AQ2:AQ11)</f>
        <v>0</v>
      </c>
      <c r="AR15" s="8"/>
      <c r="AS15" s="29">
        <f>MIN(AS2:AS11)</f>
        <v>0.05491990847</v>
      </c>
      <c r="AT15" s="8"/>
      <c r="AU15" s="29">
        <f>MIN(AU2:AU11)</f>
        <v>0.01162790698</v>
      </c>
      <c r="AV15" s="8"/>
      <c r="AW15" s="29">
        <f>MIN(AW2:AW11)</f>
        <v>0.04411764706</v>
      </c>
      <c r="AX15" s="8"/>
      <c r="AY15" s="29">
        <f>MIN(AY2:AY11)</f>
        <v>1.435897436</v>
      </c>
      <c r="AZ15" s="8"/>
      <c r="BA15" s="29">
        <f>MIN(BA2:BA11)</f>
        <v>0.9707241911</v>
      </c>
      <c r="BB15" s="8"/>
      <c r="BC15" s="29">
        <f>MIN(BC2:BC11)</f>
        <v>75</v>
      </c>
      <c r="BD15" s="8"/>
      <c r="BE15" s="8"/>
      <c r="BF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row>
  </sheetData>
  <hyperlinks>
    <hyperlink r:id="rId1" ref="B2"/>
    <hyperlink r:id="rId2" ref="B3"/>
    <hyperlink r:id="rId3" ref="B4"/>
    <hyperlink r:id="rId4" ref="B5"/>
    <hyperlink r:id="rId5" ref="B6"/>
    <hyperlink r:id="rId6" ref="B7"/>
    <hyperlink r:id="rId7" ref="B8"/>
    <hyperlink r:id="rId8" ref="B9"/>
    <hyperlink r:id="rId9" ref="B10"/>
    <hyperlink r:id="rId10" ref="B11"/>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0"/>
    <col customWidth="1" min="2" max="2" width="33.75"/>
    <col customWidth="1" min="3" max="3" width="15.38"/>
    <col customWidth="1" min="6" max="6" width="21.38"/>
  </cols>
  <sheetData>
    <row r="1">
      <c r="A1" s="1" t="s">
        <v>0</v>
      </c>
      <c r="B1" s="1" t="s">
        <v>47</v>
      </c>
      <c r="C1" s="33" t="s">
        <v>48</v>
      </c>
      <c r="D1" s="3" t="s">
        <v>3</v>
      </c>
      <c r="E1" s="4" t="s">
        <v>4</v>
      </c>
      <c r="F1" s="34" t="s">
        <v>49</v>
      </c>
      <c r="G1" s="5" t="s">
        <v>6</v>
      </c>
      <c r="H1" s="4" t="s">
        <v>4</v>
      </c>
      <c r="I1" s="35" t="s">
        <v>50</v>
      </c>
      <c r="J1" s="4" t="s">
        <v>4</v>
      </c>
      <c r="K1" s="36" t="s">
        <v>51</v>
      </c>
      <c r="L1" s="4" t="s">
        <v>4</v>
      </c>
      <c r="M1" s="36" t="s">
        <v>52</v>
      </c>
      <c r="N1" s="4" t="s">
        <v>4</v>
      </c>
      <c r="O1" s="36" t="s">
        <v>53</v>
      </c>
      <c r="P1" s="4" t="s">
        <v>4</v>
      </c>
      <c r="Q1" s="36" t="s">
        <v>54</v>
      </c>
      <c r="R1" s="4" t="s">
        <v>4</v>
      </c>
      <c r="S1" s="36" t="s">
        <v>55</v>
      </c>
      <c r="T1" s="4" t="s">
        <v>4</v>
      </c>
      <c r="U1" s="36" t="s">
        <v>56</v>
      </c>
      <c r="V1" s="4" t="s">
        <v>4</v>
      </c>
      <c r="W1" s="36" t="s">
        <v>57</v>
      </c>
      <c r="X1" s="4" t="s">
        <v>4</v>
      </c>
      <c r="Y1" s="36" t="s">
        <v>58</v>
      </c>
      <c r="Z1" s="4" t="s">
        <v>4</v>
      </c>
      <c r="AA1" s="35" t="s">
        <v>59</v>
      </c>
      <c r="AB1" s="4" t="s">
        <v>4</v>
      </c>
      <c r="AC1" s="36" t="s">
        <v>60</v>
      </c>
      <c r="AD1" s="4" t="s">
        <v>4</v>
      </c>
      <c r="AE1" s="36" t="s">
        <v>61</v>
      </c>
      <c r="AF1" s="4" t="s">
        <v>4</v>
      </c>
      <c r="AG1" s="1" t="s">
        <v>62</v>
      </c>
      <c r="AH1" s="4" t="s">
        <v>4</v>
      </c>
      <c r="AI1" s="1" t="s">
        <v>63</v>
      </c>
      <c r="AJ1" s="4" t="s">
        <v>4</v>
      </c>
      <c r="AK1" s="1" t="s">
        <v>64</v>
      </c>
      <c r="AL1" s="4" t="s">
        <v>4</v>
      </c>
      <c r="AM1" s="1" t="s">
        <v>65</v>
      </c>
      <c r="AN1" s="4" t="s">
        <v>4</v>
      </c>
      <c r="AO1" s="1" t="s">
        <v>66</v>
      </c>
      <c r="AP1" s="4" t="s">
        <v>4</v>
      </c>
      <c r="AQ1" s="1" t="s">
        <v>67</v>
      </c>
      <c r="AR1" s="4" t="s">
        <v>4</v>
      </c>
      <c r="AS1" s="6" t="s">
        <v>68</v>
      </c>
      <c r="AT1" s="4" t="s">
        <v>4</v>
      </c>
      <c r="AU1" s="1" t="s">
        <v>69</v>
      </c>
      <c r="AV1" s="4" t="s">
        <v>4</v>
      </c>
      <c r="AW1" s="1" t="s">
        <v>70</v>
      </c>
      <c r="AX1" s="4" t="s">
        <v>4</v>
      </c>
      <c r="AY1" s="1" t="s">
        <v>71</v>
      </c>
      <c r="AZ1" s="4" t="s">
        <v>4</v>
      </c>
      <c r="BA1" s="1" t="s">
        <v>72</v>
      </c>
      <c r="BB1" s="4" t="s">
        <v>4</v>
      </c>
      <c r="BC1" s="1" t="s">
        <v>73</v>
      </c>
      <c r="BD1" s="7" t="s">
        <v>74</v>
      </c>
      <c r="BE1" s="7" t="s">
        <v>32</v>
      </c>
      <c r="BF1" s="8"/>
    </row>
    <row r="2">
      <c r="A2" s="37" t="s">
        <v>75</v>
      </c>
      <c r="B2" s="38" t="s">
        <v>76</v>
      </c>
      <c r="C2" s="39">
        <v>45199.0</v>
      </c>
      <c r="D2" s="11">
        <f t="shared" ref="D2:D11" si="1">(TODAY()-C2)/365</f>
        <v>2.435616438</v>
      </c>
      <c r="E2" s="12">
        <f t="shared" ref="E2:E11" si="2">RANK(D2,D$2:D$11)</f>
        <v>10</v>
      </c>
      <c r="F2" s="40">
        <v>42407.0</v>
      </c>
      <c r="G2" s="14">
        <f t="shared" ref="G2:G11" si="3">(TODAY()-F2)/365</f>
        <v>10.08493151</v>
      </c>
      <c r="H2" s="12">
        <f t="shared" ref="H2:H11" si="4">RANK(G2,G$2:G$11)</f>
        <v>7</v>
      </c>
      <c r="I2" s="41">
        <v>8.0</v>
      </c>
      <c r="J2" s="12">
        <f t="shared" ref="J2:J11" si="5">RANK(I2,I$2:I$11)</f>
        <v>5</v>
      </c>
      <c r="K2" s="41">
        <v>117.0</v>
      </c>
      <c r="L2" s="12">
        <f t="shared" ref="L2:L11" si="6">RANK(K2,K$2:K$11)</f>
        <v>6</v>
      </c>
      <c r="M2" s="41">
        <v>327.0</v>
      </c>
      <c r="N2" s="12">
        <f t="shared" ref="N2:N11" si="7">RANK(M2,M$2:M$11)</f>
        <v>7</v>
      </c>
      <c r="O2" s="42">
        <v>90.0</v>
      </c>
      <c r="P2" s="12">
        <f t="shared" ref="P2:P11" si="8">RANK(O2,O$2:O$11)</f>
        <v>4</v>
      </c>
      <c r="Q2" s="42">
        <v>25.0</v>
      </c>
      <c r="R2" s="12">
        <f t="shared" ref="R2:R11" si="9">RANK(Q2,Q$2:Q$11)</f>
        <v>2</v>
      </c>
      <c r="S2" s="42">
        <v>5.0</v>
      </c>
      <c r="T2" s="12">
        <f t="shared" ref="T2:T11" si="10">RANK(S2,S$2:S$11)</f>
        <v>8</v>
      </c>
      <c r="U2" s="42">
        <v>26.0</v>
      </c>
      <c r="V2" s="12">
        <f t="shared" ref="V2:V11" si="11">RANK(U2,U$2:U$11)</f>
        <v>4</v>
      </c>
      <c r="W2" s="41">
        <v>22.0</v>
      </c>
      <c r="X2" s="12">
        <f t="shared" ref="X2:X11" si="12">RANK(W2,W$2:W$11)</f>
        <v>8</v>
      </c>
      <c r="Y2" s="41">
        <v>8.0</v>
      </c>
      <c r="Z2" s="12">
        <f t="shared" ref="Z2:Z11" si="13">RANK(Y2,Y$2:Y$11)</f>
        <v>9</v>
      </c>
      <c r="AA2" s="42">
        <v>19.0</v>
      </c>
      <c r="AB2" s="12">
        <f t="shared" ref="AB2:AB11" si="14">RANK(AA2,AA$2:AA$11)</f>
        <v>8</v>
      </c>
      <c r="AC2" s="42">
        <v>9.0</v>
      </c>
      <c r="AD2" s="12">
        <f t="shared" ref="AD2:AD11" si="15">RANK(AC2,AC$2:AC$11)</f>
        <v>4</v>
      </c>
      <c r="AE2" s="41">
        <v>63.0</v>
      </c>
      <c r="AF2" s="12">
        <f t="shared" ref="AF2:AF11" si="16">RANK(AE2,AE$2:AE$11)</f>
        <v>8</v>
      </c>
      <c r="AG2" s="16">
        <f t="shared" ref="AG2:AG11" si="17">W2/D2</f>
        <v>9.032620922</v>
      </c>
      <c r="AH2" s="12">
        <f t="shared" ref="AH2:AH11" si="18">RANK(AG2,AG$2:AG$11)</f>
        <v>4</v>
      </c>
      <c r="AI2" s="16">
        <f t="shared" ref="AI2:AI11" si="19">AC2/D2</f>
        <v>3.695163105</v>
      </c>
      <c r="AJ2" s="12">
        <f t="shared" ref="AJ2:AJ11" si="20">RANK(AI2,AI$2:AI$11)</f>
        <v>3</v>
      </c>
      <c r="AK2" s="16">
        <f t="shared" ref="AK2:AK11" si="21">K2/D2</f>
        <v>48.03712036</v>
      </c>
      <c r="AL2" s="12">
        <f t="shared" ref="AL2:AL11" si="22">RANK(AK2,AK$2:AK$11)</f>
        <v>4</v>
      </c>
      <c r="AM2" s="16">
        <f t="shared" ref="AM2:AM11" si="23">O2/D2</f>
        <v>36.95163105</v>
      </c>
      <c r="AN2" s="12">
        <f t="shared" ref="AN2:AN11" si="24">RANK(AM2,AM$2:AM$11)</f>
        <v>4</v>
      </c>
      <c r="AO2" s="16">
        <f t="shared" ref="AO2:AO11" si="25">AE2/W2</f>
        <v>2.863636364</v>
      </c>
      <c r="AP2" s="12">
        <f t="shared" ref="AP2:AP11" si="26">RANK(AO2,AO$2:AO$11)</f>
        <v>8</v>
      </c>
      <c r="AQ2" s="16">
        <f>AE2/AC2</f>
        <v>7</v>
      </c>
      <c r="AR2" s="12">
        <f t="shared" ref="AR2:AR11" si="27">RANK(AQ2,AQ$2:AQ$11)</f>
        <v>4</v>
      </c>
      <c r="AS2" s="17">
        <f t="shared" ref="AS2:AS11" si="28">S2/U2</f>
        <v>0.1923076923</v>
      </c>
      <c r="AT2" s="12">
        <f t="shared" ref="AT2:AT11" si="29">RANK(AS2,AS$2:AS$11)</f>
        <v>10</v>
      </c>
      <c r="AU2" s="16">
        <f t="shared" ref="AU2:AU11" si="30">AE2/K2</f>
        <v>0.5384615385</v>
      </c>
      <c r="AV2" s="12">
        <f t="shared" ref="AV2:AV11" si="31">RANK(AU2,AU$2:AU$11)</f>
        <v>8</v>
      </c>
      <c r="AW2" s="16">
        <f t="shared" ref="AW2:AW11" si="32">AE2/O2</f>
        <v>0.7</v>
      </c>
      <c r="AX2" s="12">
        <f t="shared" ref="AX2:AX11" si="33">RANK(AW2,AW$2:AW$11)</f>
        <v>9</v>
      </c>
      <c r="AY2" s="16">
        <f t="shared" ref="AY2:AY11" si="34">M2/K2</f>
        <v>2.794871795</v>
      </c>
      <c r="AZ2" s="12">
        <f t="shared" ref="AZ2:AZ11" si="35">RANK(AY2,AY$2:AY$11)</f>
        <v>6</v>
      </c>
      <c r="BA2" s="18">
        <f t="shared" ref="BA2:BA11" si="36">AA2/W2</f>
        <v>0.8636363636</v>
      </c>
      <c r="BB2" s="12">
        <f t="shared" ref="BB2:BB11" si="37">RANK(BA2,BA$2:BA$11)</f>
        <v>10</v>
      </c>
      <c r="BC2" s="19">
        <f t="shared" ref="BC2:BC11" si="38">SUM(BB2,AZ2,AX2,AV2,AT2,AR2,AP2,AN2,AL2,AJ2,AH2,AF2,AD2,AB2,Z2,X2,V2,T2,R2,P2,N2,L2,J2,H2,E2)</f>
        <v>160</v>
      </c>
      <c r="BD2" s="19">
        <f t="shared" ref="BD2:BD11" si="39">AVERAGE(BB2,AZ2,AX2,AV2,AT2,AR2,AP2,AN2,AL2,AJ2,AH2,AF2,AD2,AB2,Z2,X2,V2,T2,R2,P2,N2,L2,J2,H2,E2)</f>
        <v>6.4</v>
      </c>
      <c r="BE2" s="15">
        <f t="shared" ref="BE2:BE11" si="40">RANK(BC2, BC$2:BC$11, TRUE)</f>
        <v>8</v>
      </c>
      <c r="BF2" s="8"/>
    </row>
    <row r="3">
      <c r="A3" s="43" t="s">
        <v>77</v>
      </c>
      <c r="B3" s="44" t="s">
        <v>78</v>
      </c>
      <c r="C3" s="45">
        <v>38660.0</v>
      </c>
      <c r="D3" s="11">
        <f t="shared" si="1"/>
        <v>20.35068493</v>
      </c>
      <c r="E3" s="12">
        <f t="shared" si="2"/>
        <v>1</v>
      </c>
      <c r="F3" s="46">
        <v>40496.0</v>
      </c>
      <c r="G3" s="14">
        <f t="shared" si="3"/>
        <v>15.32054795</v>
      </c>
      <c r="H3" s="12">
        <f t="shared" si="4"/>
        <v>3</v>
      </c>
      <c r="I3" s="47">
        <v>2.5</v>
      </c>
      <c r="J3" s="12">
        <f t="shared" si="5"/>
        <v>10</v>
      </c>
      <c r="K3" s="41">
        <v>60.0</v>
      </c>
      <c r="L3" s="12">
        <f t="shared" si="6"/>
        <v>9</v>
      </c>
      <c r="M3" s="41">
        <v>80.0</v>
      </c>
      <c r="N3" s="12">
        <f t="shared" si="7"/>
        <v>9</v>
      </c>
      <c r="O3" s="42">
        <v>10.0</v>
      </c>
      <c r="P3" s="12">
        <f t="shared" si="8"/>
        <v>9</v>
      </c>
      <c r="Q3" s="42">
        <v>18.0</v>
      </c>
      <c r="R3" s="12">
        <f t="shared" si="9"/>
        <v>6</v>
      </c>
      <c r="S3" s="42">
        <v>9.0</v>
      </c>
      <c r="T3" s="12">
        <f t="shared" si="10"/>
        <v>6</v>
      </c>
      <c r="U3" s="42">
        <v>3.0</v>
      </c>
      <c r="V3" s="12">
        <f t="shared" si="11"/>
        <v>8</v>
      </c>
      <c r="W3" s="41">
        <v>40.0</v>
      </c>
      <c r="X3" s="12">
        <f t="shared" si="12"/>
        <v>6</v>
      </c>
      <c r="Y3" s="41">
        <v>13.0</v>
      </c>
      <c r="Z3" s="12">
        <f t="shared" si="13"/>
        <v>7</v>
      </c>
      <c r="AA3" s="42">
        <v>40.0</v>
      </c>
      <c r="AB3" s="12">
        <f t="shared" si="14"/>
        <v>6</v>
      </c>
      <c r="AC3" s="42">
        <v>2.0</v>
      </c>
      <c r="AD3" s="12">
        <f t="shared" si="15"/>
        <v>6</v>
      </c>
      <c r="AE3" s="41">
        <v>200.0</v>
      </c>
      <c r="AF3" s="12">
        <f t="shared" si="16"/>
        <v>6</v>
      </c>
      <c r="AG3" s="16">
        <f t="shared" si="17"/>
        <v>1.96553581</v>
      </c>
      <c r="AH3" s="12">
        <f t="shared" si="18"/>
        <v>8</v>
      </c>
      <c r="AI3" s="16">
        <f t="shared" si="19"/>
        <v>0.09827679052</v>
      </c>
      <c r="AJ3" s="12">
        <f t="shared" si="20"/>
        <v>8</v>
      </c>
      <c r="AK3" s="16">
        <f t="shared" si="21"/>
        <v>2.948303716</v>
      </c>
      <c r="AL3" s="12">
        <f t="shared" si="22"/>
        <v>10</v>
      </c>
      <c r="AM3" s="16">
        <f t="shared" si="23"/>
        <v>0.4913839526</v>
      </c>
      <c r="AN3" s="12">
        <f t="shared" si="24"/>
        <v>9</v>
      </c>
      <c r="AO3" s="16">
        <f t="shared" si="25"/>
        <v>5</v>
      </c>
      <c r="AP3" s="12">
        <f t="shared" si="26"/>
        <v>4</v>
      </c>
      <c r="AQ3" s="16">
        <v>0.0</v>
      </c>
      <c r="AR3" s="12">
        <f t="shared" si="27"/>
        <v>7</v>
      </c>
      <c r="AS3" s="17">
        <f t="shared" si="28"/>
        <v>3</v>
      </c>
      <c r="AT3" s="12">
        <f t="shared" si="29"/>
        <v>2</v>
      </c>
      <c r="AU3" s="16">
        <f t="shared" si="30"/>
        <v>3.333333333</v>
      </c>
      <c r="AV3" s="12">
        <f t="shared" si="31"/>
        <v>2</v>
      </c>
      <c r="AW3" s="16">
        <f t="shared" si="32"/>
        <v>20</v>
      </c>
      <c r="AX3" s="12">
        <f t="shared" si="33"/>
        <v>3</v>
      </c>
      <c r="AY3" s="16">
        <f t="shared" si="34"/>
        <v>1.333333333</v>
      </c>
      <c r="AZ3" s="12">
        <f t="shared" si="35"/>
        <v>10</v>
      </c>
      <c r="BA3" s="18">
        <f t="shared" si="36"/>
        <v>1</v>
      </c>
      <c r="BB3" s="12">
        <f t="shared" si="37"/>
        <v>2</v>
      </c>
      <c r="BC3" s="19">
        <f t="shared" si="38"/>
        <v>157</v>
      </c>
      <c r="BD3" s="19">
        <f t="shared" si="39"/>
        <v>6.28</v>
      </c>
      <c r="BE3" s="15">
        <f t="shared" si="40"/>
        <v>7</v>
      </c>
      <c r="BF3" s="8"/>
    </row>
    <row r="4">
      <c r="A4" s="43" t="s">
        <v>79</v>
      </c>
      <c r="B4" s="44" t="s">
        <v>80</v>
      </c>
      <c r="C4" s="45">
        <v>44258.0</v>
      </c>
      <c r="D4" s="11">
        <f t="shared" si="1"/>
        <v>5.01369863</v>
      </c>
      <c r="E4" s="12">
        <f t="shared" si="2"/>
        <v>6</v>
      </c>
      <c r="F4" s="46">
        <v>41422.0</v>
      </c>
      <c r="G4" s="14">
        <f t="shared" si="3"/>
        <v>12.78356164</v>
      </c>
      <c r="H4" s="12">
        <f t="shared" si="4"/>
        <v>6</v>
      </c>
      <c r="I4" s="41">
        <v>25.0</v>
      </c>
      <c r="J4" s="12">
        <f t="shared" si="5"/>
        <v>1</v>
      </c>
      <c r="K4" s="41">
        <v>472.0</v>
      </c>
      <c r="L4" s="12">
        <f t="shared" si="6"/>
        <v>3</v>
      </c>
      <c r="M4" s="41">
        <v>1107.0</v>
      </c>
      <c r="N4" s="12">
        <f t="shared" si="7"/>
        <v>6</v>
      </c>
      <c r="O4" s="42">
        <v>277.0</v>
      </c>
      <c r="P4" s="12">
        <f t="shared" si="8"/>
        <v>2</v>
      </c>
      <c r="Q4" s="42">
        <v>17.0</v>
      </c>
      <c r="R4" s="12">
        <f t="shared" si="9"/>
        <v>7</v>
      </c>
      <c r="S4" s="42">
        <v>42.0</v>
      </c>
      <c r="T4" s="12">
        <f t="shared" si="10"/>
        <v>2</v>
      </c>
      <c r="U4" s="42">
        <v>74.0</v>
      </c>
      <c r="V4" s="12">
        <f t="shared" si="11"/>
        <v>1</v>
      </c>
      <c r="W4" s="41">
        <v>640.0</v>
      </c>
      <c r="X4" s="12">
        <f t="shared" si="12"/>
        <v>1</v>
      </c>
      <c r="Y4" s="41">
        <v>254.0</v>
      </c>
      <c r="Z4" s="12">
        <f t="shared" si="13"/>
        <v>1</v>
      </c>
      <c r="AA4" s="42">
        <v>630.0</v>
      </c>
      <c r="AB4" s="12">
        <f t="shared" si="14"/>
        <v>1</v>
      </c>
      <c r="AC4" s="42">
        <v>477.0</v>
      </c>
      <c r="AD4" s="12">
        <f t="shared" si="15"/>
        <v>1</v>
      </c>
      <c r="AE4" s="41">
        <v>1316.0</v>
      </c>
      <c r="AF4" s="12">
        <f t="shared" si="16"/>
        <v>1</v>
      </c>
      <c r="AG4" s="16">
        <f t="shared" si="17"/>
        <v>127.6502732</v>
      </c>
      <c r="AH4" s="12">
        <f t="shared" si="18"/>
        <v>1</v>
      </c>
      <c r="AI4" s="16">
        <f t="shared" si="19"/>
        <v>95.13934426</v>
      </c>
      <c r="AJ4" s="12">
        <f t="shared" si="20"/>
        <v>1</v>
      </c>
      <c r="AK4" s="16">
        <f t="shared" si="21"/>
        <v>94.1420765</v>
      </c>
      <c r="AL4" s="12">
        <f t="shared" si="22"/>
        <v>3</v>
      </c>
      <c r="AM4" s="16">
        <f t="shared" si="23"/>
        <v>55.24863388</v>
      </c>
      <c r="AN4" s="12">
        <f t="shared" si="24"/>
        <v>1</v>
      </c>
      <c r="AO4" s="16">
        <f t="shared" si="25"/>
        <v>2.05625</v>
      </c>
      <c r="AP4" s="12">
        <f t="shared" si="26"/>
        <v>9</v>
      </c>
      <c r="AQ4" s="16">
        <f>AE4/AC4</f>
        <v>2.758909853</v>
      </c>
      <c r="AR4" s="12">
        <f t="shared" si="27"/>
        <v>6</v>
      </c>
      <c r="AS4" s="17">
        <f t="shared" si="28"/>
        <v>0.5675675676</v>
      </c>
      <c r="AT4" s="12">
        <f t="shared" si="29"/>
        <v>9</v>
      </c>
      <c r="AU4" s="16">
        <f t="shared" si="30"/>
        <v>2.788135593</v>
      </c>
      <c r="AV4" s="12">
        <f t="shared" si="31"/>
        <v>5</v>
      </c>
      <c r="AW4" s="16">
        <f t="shared" si="32"/>
        <v>4.750902527</v>
      </c>
      <c r="AX4" s="12">
        <f t="shared" si="33"/>
        <v>5</v>
      </c>
      <c r="AY4" s="16">
        <f t="shared" si="34"/>
        <v>2.345338983</v>
      </c>
      <c r="AZ4" s="12">
        <f t="shared" si="35"/>
        <v>8</v>
      </c>
      <c r="BA4" s="18">
        <f t="shared" si="36"/>
        <v>0.984375</v>
      </c>
      <c r="BB4" s="12">
        <f t="shared" si="37"/>
        <v>5</v>
      </c>
      <c r="BC4" s="19">
        <f t="shared" si="38"/>
        <v>92</v>
      </c>
      <c r="BD4" s="19">
        <f t="shared" si="39"/>
        <v>3.68</v>
      </c>
      <c r="BE4" s="15">
        <f t="shared" si="40"/>
        <v>1</v>
      </c>
      <c r="BF4" s="8"/>
    </row>
    <row r="5">
      <c r="A5" s="48" t="s">
        <v>81</v>
      </c>
      <c r="B5" s="49" t="s">
        <v>82</v>
      </c>
      <c r="C5" s="50">
        <v>40701.0</v>
      </c>
      <c r="D5" s="51">
        <f t="shared" si="1"/>
        <v>14.75890411</v>
      </c>
      <c r="E5" s="52">
        <f t="shared" si="2"/>
        <v>4</v>
      </c>
      <c r="F5" s="53">
        <v>40872.0</v>
      </c>
      <c r="G5" s="51">
        <f t="shared" si="3"/>
        <v>14.29041096</v>
      </c>
      <c r="H5" s="52">
        <f t="shared" si="4"/>
        <v>4</v>
      </c>
      <c r="I5" s="41">
        <v>9.0</v>
      </c>
      <c r="J5" s="52">
        <f t="shared" si="5"/>
        <v>4</v>
      </c>
      <c r="K5" s="41">
        <v>171.0</v>
      </c>
      <c r="L5" s="52">
        <f t="shared" si="6"/>
        <v>5</v>
      </c>
      <c r="M5" s="41">
        <v>2570.0</v>
      </c>
      <c r="N5" s="52">
        <f t="shared" si="7"/>
        <v>2</v>
      </c>
      <c r="O5" s="54">
        <v>84.0</v>
      </c>
      <c r="P5" s="52">
        <f t="shared" si="8"/>
        <v>5</v>
      </c>
      <c r="Q5" s="54">
        <v>16.0</v>
      </c>
      <c r="R5" s="52">
        <f t="shared" si="9"/>
        <v>8</v>
      </c>
      <c r="S5" s="54">
        <v>22.0</v>
      </c>
      <c r="T5" s="52">
        <f t="shared" si="10"/>
        <v>4</v>
      </c>
      <c r="U5" s="54">
        <v>31.0</v>
      </c>
      <c r="V5" s="52">
        <f t="shared" si="11"/>
        <v>3</v>
      </c>
      <c r="W5" s="41">
        <v>56.0</v>
      </c>
      <c r="X5" s="52">
        <f t="shared" si="12"/>
        <v>4</v>
      </c>
      <c r="Y5" s="41">
        <v>33.0</v>
      </c>
      <c r="Z5" s="52">
        <f t="shared" si="13"/>
        <v>4</v>
      </c>
      <c r="AA5" s="54">
        <v>53.0</v>
      </c>
      <c r="AB5" s="52">
        <f t="shared" si="14"/>
        <v>4</v>
      </c>
      <c r="AC5" s="54">
        <v>11.0</v>
      </c>
      <c r="AD5" s="52">
        <f t="shared" si="15"/>
        <v>3</v>
      </c>
      <c r="AE5" s="41">
        <v>413.0</v>
      </c>
      <c r="AF5" s="52">
        <f t="shared" si="16"/>
        <v>4</v>
      </c>
      <c r="AG5" s="55">
        <f t="shared" si="17"/>
        <v>3.794319658</v>
      </c>
      <c r="AH5" s="52">
        <f t="shared" si="18"/>
        <v>7</v>
      </c>
      <c r="AI5" s="55">
        <f t="shared" si="19"/>
        <v>0.7453127901</v>
      </c>
      <c r="AJ5" s="52">
        <f t="shared" si="20"/>
        <v>5</v>
      </c>
      <c r="AK5" s="55">
        <f t="shared" si="21"/>
        <v>11.5862261</v>
      </c>
      <c r="AL5" s="52">
        <f t="shared" si="22"/>
        <v>6</v>
      </c>
      <c r="AM5" s="55">
        <f t="shared" si="23"/>
        <v>5.691479488</v>
      </c>
      <c r="AN5" s="52">
        <f t="shared" si="24"/>
        <v>7</v>
      </c>
      <c r="AO5" s="55">
        <f t="shared" si="25"/>
        <v>7.375</v>
      </c>
      <c r="AP5" s="52">
        <f t="shared" si="26"/>
        <v>3</v>
      </c>
      <c r="AQ5" s="56">
        <v>0.0</v>
      </c>
      <c r="AR5" s="52">
        <f t="shared" si="27"/>
        <v>7</v>
      </c>
      <c r="AS5" s="57">
        <f t="shared" si="28"/>
        <v>0.7096774194</v>
      </c>
      <c r="AT5" s="52">
        <f t="shared" si="29"/>
        <v>6</v>
      </c>
      <c r="AU5" s="55">
        <f t="shared" si="30"/>
        <v>2.415204678</v>
      </c>
      <c r="AV5" s="52">
        <f t="shared" si="31"/>
        <v>6</v>
      </c>
      <c r="AW5" s="55">
        <f t="shared" si="32"/>
        <v>4.916666667</v>
      </c>
      <c r="AX5" s="52">
        <f t="shared" si="33"/>
        <v>4</v>
      </c>
      <c r="AY5" s="55">
        <f t="shared" si="34"/>
        <v>15.02923977</v>
      </c>
      <c r="AZ5" s="52">
        <f t="shared" si="35"/>
        <v>2</v>
      </c>
      <c r="BA5" s="58">
        <f t="shared" si="36"/>
        <v>0.9464285714</v>
      </c>
      <c r="BB5" s="52">
        <f t="shared" si="37"/>
        <v>8</v>
      </c>
      <c r="BC5" s="59">
        <f t="shared" si="38"/>
        <v>119</v>
      </c>
      <c r="BD5" s="59">
        <f t="shared" si="39"/>
        <v>4.76</v>
      </c>
      <c r="BE5" s="60">
        <f t="shared" si="40"/>
        <v>5</v>
      </c>
      <c r="BF5" s="61"/>
    </row>
    <row r="6">
      <c r="A6" s="48" t="s">
        <v>83</v>
      </c>
      <c r="B6" s="49" t="s">
        <v>84</v>
      </c>
      <c r="C6" s="62">
        <v>41205.0</v>
      </c>
      <c r="D6" s="51">
        <f t="shared" si="1"/>
        <v>13.37808219</v>
      </c>
      <c r="E6" s="52">
        <f t="shared" si="2"/>
        <v>5</v>
      </c>
      <c r="F6" s="63">
        <v>41331.0</v>
      </c>
      <c r="G6" s="51">
        <f t="shared" si="3"/>
        <v>13.03287671</v>
      </c>
      <c r="H6" s="52">
        <f t="shared" si="4"/>
        <v>5</v>
      </c>
      <c r="I6" s="41">
        <v>7.0</v>
      </c>
      <c r="J6" s="52">
        <f t="shared" si="5"/>
        <v>6</v>
      </c>
      <c r="K6" s="41">
        <v>324.0</v>
      </c>
      <c r="L6" s="52">
        <f t="shared" si="6"/>
        <v>4</v>
      </c>
      <c r="M6" s="41">
        <v>1287.0</v>
      </c>
      <c r="N6" s="52">
        <f t="shared" si="7"/>
        <v>5</v>
      </c>
      <c r="O6" s="54">
        <v>560.0</v>
      </c>
      <c r="P6" s="52">
        <f t="shared" si="8"/>
        <v>1</v>
      </c>
      <c r="Q6" s="54">
        <v>25.0</v>
      </c>
      <c r="R6" s="52">
        <f t="shared" si="9"/>
        <v>2</v>
      </c>
      <c r="S6" s="54">
        <v>43.0</v>
      </c>
      <c r="T6" s="52">
        <f t="shared" si="10"/>
        <v>1</v>
      </c>
      <c r="U6" s="54">
        <v>73.0</v>
      </c>
      <c r="V6" s="52">
        <f t="shared" si="11"/>
        <v>2</v>
      </c>
      <c r="W6" s="41">
        <v>276.0</v>
      </c>
      <c r="X6" s="52">
        <f t="shared" si="12"/>
        <v>2</v>
      </c>
      <c r="Y6" s="41">
        <v>163.0</v>
      </c>
      <c r="Z6" s="52">
        <f t="shared" si="13"/>
        <v>2</v>
      </c>
      <c r="AA6" s="54">
        <v>261.0</v>
      </c>
      <c r="AB6" s="52">
        <f t="shared" si="14"/>
        <v>2</v>
      </c>
      <c r="AC6" s="54">
        <v>143.0</v>
      </c>
      <c r="AD6" s="52">
        <f t="shared" si="15"/>
        <v>2</v>
      </c>
      <c r="AE6" s="41">
        <v>922.0</v>
      </c>
      <c r="AF6" s="52">
        <f t="shared" si="16"/>
        <v>3</v>
      </c>
      <c r="AG6" s="55">
        <f t="shared" si="17"/>
        <v>20.63075978</v>
      </c>
      <c r="AH6" s="52">
        <f t="shared" si="18"/>
        <v>2</v>
      </c>
      <c r="AI6" s="55">
        <f t="shared" si="19"/>
        <v>10.68912554</v>
      </c>
      <c r="AJ6" s="52">
        <f t="shared" si="20"/>
        <v>2</v>
      </c>
      <c r="AK6" s="55">
        <f t="shared" si="21"/>
        <v>24.218718</v>
      </c>
      <c r="AL6" s="52">
        <f t="shared" si="22"/>
        <v>5</v>
      </c>
      <c r="AM6" s="55">
        <f t="shared" si="23"/>
        <v>41.85951259</v>
      </c>
      <c r="AN6" s="52">
        <f t="shared" si="24"/>
        <v>3</v>
      </c>
      <c r="AO6" s="55">
        <f t="shared" si="25"/>
        <v>3.34057971</v>
      </c>
      <c r="AP6" s="52">
        <f t="shared" si="26"/>
        <v>7</v>
      </c>
      <c r="AQ6" s="56">
        <v>0.0</v>
      </c>
      <c r="AR6" s="52">
        <f t="shared" si="27"/>
        <v>7</v>
      </c>
      <c r="AS6" s="57">
        <f t="shared" si="28"/>
        <v>0.5890410959</v>
      </c>
      <c r="AT6" s="52">
        <f t="shared" si="29"/>
        <v>8</v>
      </c>
      <c r="AU6" s="55">
        <f t="shared" si="30"/>
        <v>2.845679012</v>
      </c>
      <c r="AV6" s="52">
        <f t="shared" si="31"/>
        <v>4</v>
      </c>
      <c r="AW6" s="55">
        <f t="shared" si="32"/>
        <v>1.646428571</v>
      </c>
      <c r="AX6" s="52">
        <f t="shared" si="33"/>
        <v>7</v>
      </c>
      <c r="AY6" s="55">
        <f t="shared" si="34"/>
        <v>3.972222222</v>
      </c>
      <c r="AZ6" s="52">
        <f t="shared" si="35"/>
        <v>4</v>
      </c>
      <c r="BA6" s="58">
        <f t="shared" si="36"/>
        <v>0.9456521739</v>
      </c>
      <c r="BB6" s="52">
        <f t="shared" si="37"/>
        <v>9</v>
      </c>
      <c r="BC6" s="59">
        <f t="shared" si="38"/>
        <v>100</v>
      </c>
      <c r="BD6" s="59">
        <f t="shared" si="39"/>
        <v>4</v>
      </c>
      <c r="BE6" s="60">
        <f t="shared" si="40"/>
        <v>2</v>
      </c>
      <c r="BF6" s="61"/>
    </row>
    <row r="7">
      <c r="A7" s="43" t="s">
        <v>85</v>
      </c>
      <c r="B7" s="44" t="s">
        <v>86</v>
      </c>
      <c r="C7" s="45">
        <v>40145.0</v>
      </c>
      <c r="D7" s="11">
        <f t="shared" si="1"/>
        <v>16.28219178</v>
      </c>
      <c r="E7" s="12">
        <f t="shared" si="2"/>
        <v>3</v>
      </c>
      <c r="F7" s="46">
        <v>40161.0</v>
      </c>
      <c r="G7" s="14">
        <f t="shared" si="3"/>
        <v>16.23835616</v>
      </c>
      <c r="H7" s="12">
        <f t="shared" si="4"/>
        <v>2</v>
      </c>
      <c r="I7" s="41">
        <v>23.0</v>
      </c>
      <c r="J7" s="12">
        <f t="shared" si="5"/>
        <v>2</v>
      </c>
      <c r="K7" s="41">
        <v>110.0</v>
      </c>
      <c r="L7" s="12">
        <f t="shared" si="6"/>
        <v>7</v>
      </c>
      <c r="M7" s="41">
        <v>288.0</v>
      </c>
      <c r="N7" s="12">
        <f t="shared" si="7"/>
        <v>8</v>
      </c>
      <c r="O7" s="42">
        <v>45.0</v>
      </c>
      <c r="P7" s="12">
        <f t="shared" si="8"/>
        <v>7</v>
      </c>
      <c r="Q7" s="42">
        <v>25.0</v>
      </c>
      <c r="R7" s="12">
        <f t="shared" si="9"/>
        <v>2</v>
      </c>
      <c r="S7" s="42">
        <v>15.0</v>
      </c>
      <c r="T7" s="12">
        <f t="shared" si="10"/>
        <v>5</v>
      </c>
      <c r="U7" s="42">
        <v>10.0</v>
      </c>
      <c r="V7" s="12">
        <f t="shared" si="11"/>
        <v>6</v>
      </c>
      <c r="W7" s="41">
        <v>75.0</v>
      </c>
      <c r="X7" s="12">
        <f t="shared" si="12"/>
        <v>3</v>
      </c>
      <c r="Y7" s="41">
        <v>63.0</v>
      </c>
      <c r="Z7" s="12">
        <f t="shared" si="13"/>
        <v>3</v>
      </c>
      <c r="AA7" s="42">
        <v>72.0</v>
      </c>
      <c r="AB7" s="12">
        <f t="shared" si="14"/>
        <v>3</v>
      </c>
      <c r="AC7" s="42">
        <v>2.0</v>
      </c>
      <c r="AD7" s="12">
        <f t="shared" si="15"/>
        <v>6</v>
      </c>
      <c r="AE7" s="41">
        <v>946.0</v>
      </c>
      <c r="AF7" s="12">
        <f t="shared" si="16"/>
        <v>2</v>
      </c>
      <c r="AG7" s="16">
        <f t="shared" si="17"/>
        <v>4.606259465</v>
      </c>
      <c r="AH7" s="12">
        <f t="shared" si="18"/>
        <v>6</v>
      </c>
      <c r="AI7" s="16">
        <f t="shared" si="19"/>
        <v>0.1228335857</v>
      </c>
      <c r="AJ7" s="12">
        <f t="shared" si="20"/>
        <v>7</v>
      </c>
      <c r="AK7" s="16">
        <f t="shared" si="21"/>
        <v>6.755847215</v>
      </c>
      <c r="AL7" s="12">
        <f t="shared" si="22"/>
        <v>7</v>
      </c>
      <c r="AM7" s="16">
        <f t="shared" si="23"/>
        <v>2.763755679</v>
      </c>
      <c r="AN7" s="12">
        <f t="shared" si="24"/>
        <v>8</v>
      </c>
      <c r="AO7" s="16">
        <f t="shared" si="25"/>
        <v>12.61333333</v>
      </c>
      <c r="AP7" s="12">
        <f t="shared" si="26"/>
        <v>1</v>
      </c>
      <c r="AQ7" s="16">
        <f>AE7/AC7</f>
        <v>473</v>
      </c>
      <c r="AR7" s="12">
        <f t="shared" si="27"/>
        <v>2</v>
      </c>
      <c r="AS7" s="17">
        <f t="shared" si="28"/>
        <v>1.5</v>
      </c>
      <c r="AT7" s="12">
        <f t="shared" si="29"/>
        <v>5</v>
      </c>
      <c r="AU7" s="16">
        <f t="shared" si="30"/>
        <v>8.6</v>
      </c>
      <c r="AV7" s="12">
        <f t="shared" si="31"/>
        <v>1</v>
      </c>
      <c r="AW7" s="16">
        <f t="shared" si="32"/>
        <v>21.02222222</v>
      </c>
      <c r="AX7" s="12">
        <f t="shared" si="33"/>
        <v>2</v>
      </c>
      <c r="AY7" s="16">
        <f t="shared" si="34"/>
        <v>2.618181818</v>
      </c>
      <c r="AZ7" s="12">
        <f t="shared" si="35"/>
        <v>7</v>
      </c>
      <c r="BA7" s="18">
        <f t="shared" si="36"/>
        <v>0.96</v>
      </c>
      <c r="BB7" s="12">
        <f t="shared" si="37"/>
        <v>7</v>
      </c>
      <c r="BC7" s="19">
        <f t="shared" si="38"/>
        <v>112</v>
      </c>
      <c r="BD7" s="19">
        <f t="shared" si="39"/>
        <v>4.48</v>
      </c>
      <c r="BE7" s="15">
        <f t="shared" si="40"/>
        <v>3</v>
      </c>
      <c r="BF7" s="8"/>
    </row>
    <row r="8">
      <c r="A8" s="48" t="s">
        <v>87</v>
      </c>
      <c r="B8" s="49" t="s">
        <v>88</v>
      </c>
      <c r="C8" s="64">
        <v>38861.0</v>
      </c>
      <c r="D8" s="51">
        <f t="shared" si="1"/>
        <v>19.8</v>
      </c>
      <c r="E8" s="52">
        <f t="shared" si="2"/>
        <v>2</v>
      </c>
      <c r="F8" s="63">
        <v>39634.0</v>
      </c>
      <c r="G8" s="51">
        <f t="shared" si="3"/>
        <v>17.68219178</v>
      </c>
      <c r="H8" s="52">
        <f t="shared" si="4"/>
        <v>1</v>
      </c>
      <c r="I8" s="41">
        <v>7.0</v>
      </c>
      <c r="J8" s="52">
        <f t="shared" si="5"/>
        <v>6</v>
      </c>
      <c r="K8" s="41">
        <v>94.0</v>
      </c>
      <c r="L8" s="52">
        <f t="shared" si="6"/>
        <v>8</v>
      </c>
      <c r="M8" s="41">
        <v>1326.0</v>
      </c>
      <c r="N8" s="52">
        <f t="shared" si="7"/>
        <v>4</v>
      </c>
      <c r="O8" s="54">
        <v>8.0</v>
      </c>
      <c r="P8" s="52">
        <f t="shared" si="8"/>
        <v>10</v>
      </c>
      <c r="Q8" s="54">
        <v>25.0</v>
      </c>
      <c r="R8" s="52">
        <f t="shared" si="9"/>
        <v>2</v>
      </c>
      <c r="S8" s="54">
        <v>8.0</v>
      </c>
      <c r="T8" s="52">
        <f t="shared" si="10"/>
        <v>7</v>
      </c>
      <c r="U8" s="54">
        <v>1.0</v>
      </c>
      <c r="V8" s="52">
        <f t="shared" si="11"/>
        <v>9</v>
      </c>
      <c r="W8" s="41">
        <v>27.0</v>
      </c>
      <c r="X8" s="52">
        <f t="shared" si="12"/>
        <v>7</v>
      </c>
      <c r="Y8" s="41">
        <v>21.0</v>
      </c>
      <c r="Z8" s="52">
        <f t="shared" si="13"/>
        <v>6</v>
      </c>
      <c r="AA8" s="54">
        <v>27.0</v>
      </c>
      <c r="AB8" s="52">
        <f t="shared" si="14"/>
        <v>7</v>
      </c>
      <c r="AC8" s="54">
        <v>0.1</v>
      </c>
      <c r="AD8" s="52">
        <f t="shared" si="15"/>
        <v>9</v>
      </c>
      <c r="AE8" s="41">
        <v>216.0</v>
      </c>
      <c r="AF8" s="52">
        <f t="shared" si="16"/>
        <v>5</v>
      </c>
      <c r="AG8" s="55">
        <f t="shared" si="17"/>
        <v>1.363636364</v>
      </c>
      <c r="AH8" s="52">
        <f t="shared" si="18"/>
        <v>9</v>
      </c>
      <c r="AI8" s="55">
        <f t="shared" si="19"/>
        <v>0.005050505051</v>
      </c>
      <c r="AJ8" s="52">
        <f t="shared" si="20"/>
        <v>10</v>
      </c>
      <c r="AK8" s="55">
        <f t="shared" si="21"/>
        <v>4.747474747</v>
      </c>
      <c r="AL8" s="52">
        <f t="shared" si="22"/>
        <v>9</v>
      </c>
      <c r="AM8" s="55">
        <f t="shared" si="23"/>
        <v>0.404040404</v>
      </c>
      <c r="AN8" s="52">
        <f t="shared" si="24"/>
        <v>10</v>
      </c>
      <c r="AO8" s="55">
        <f t="shared" si="25"/>
        <v>8</v>
      </c>
      <c r="AP8" s="52">
        <f t="shared" si="26"/>
        <v>2</v>
      </c>
      <c r="AQ8" s="56">
        <v>0.0</v>
      </c>
      <c r="AR8" s="52">
        <f t="shared" si="27"/>
        <v>7</v>
      </c>
      <c r="AS8" s="57">
        <f t="shared" si="28"/>
        <v>8</v>
      </c>
      <c r="AT8" s="52">
        <f t="shared" si="29"/>
        <v>1</v>
      </c>
      <c r="AU8" s="55">
        <f t="shared" si="30"/>
        <v>2.29787234</v>
      </c>
      <c r="AV8" s="52">
        <f t="shared" si="31"/>
        <v>7</v>
      </c>
      <c r="AW8" s="55">
        <f t="shared" si="32"/>
        <v>27</v>
      </c>
      <c r="AX8" s="52">
        <f t="shared" si="33"/>
        <v>1</v>
      </c>
      <c r="AY8" s="55">
        <f t="shared" si="34"/>
        <v>14.10638298</v>
      </c>
      <c r="AZ8" s="52">
        <f t="shared" si="35"/>
        <v>3</v>
      </c>
      <c r="BA8" s="58">
        <f t="shared" si="36"/>
        <v>1</v>
      </c>
      <c r="BB8" s="52">
        <f t="shared" si="37"/>
        <v>2</v>
      </c>
      <c r="BC8" s="59">
        <f t="shared" si="38"/>
        <v>144</v>
      </c>
      <c r="BD8" s="59">
        <f t="shared" si="39"/>
        <v>5.76</v>
      </c>
      <c r="BE8" s="60">
        <f t="shared" si="40"/>
        <v>6</v>
      </c>
      <c r="BF8" s="61"/>
    </row>
    <row r="9">
      <c r="A9" s="43" t="s">
        <v>89</v>
      </c>
      <c r="B9" s="44" t="s">
        <v>90</v>
      </c>
      <c r="C9" s="45">
        <v>44358.0</v>
      </c>
      <c r="D9" s="11">
        <f t="shared" si="1"/>
        <v>4.739726027</v>
      </c>
      <c r="E9" s="12">
        <f t="shared" si="2"/>
        <v>7</v>
      </c>
      <c r="F9" s="65">
        <v>44538.0</v>
      </c>
      <c r="G9" s="14">
        <f t="shared" si="3"/>
        <v>4.246575342</v>
      </c>
      <c r="H9" s="12">
        <f t="shared" si="4"/>
        <v>8</v>
      </c>
      <c r="I9" s="41">
        <v>7.0</v>
      </c>
      <c r="J9" s="12">
        <f t="shared" si="5"/>
        <v>6</v>
      </c>
      <c r="K9" s="41">
        <v>619.0</v>
      </c>
      <c r="L9" s="12">
        <f t="shared" si="6"/>
        <v>2</v>
      </c>
      <c r="M9" s="41">
        <v>1931.0</v>
      </c>
      <c r="N9" s="12">
        <f t="shared" si="7"/>
        <v>3</v>
      </c>
      <c r="O9" s="42">
        <v>63.0</v>
      </c>
      <c r="P9" s="12">
        <f t="shared" si="8"/>
        <v>6</v>
      </c>
      <c r="Q9" s="42">
        <v>27.0</v>
      </c>
      <c r="R9" s="12">
        <f t="shared" si="9"/>
        <v>1</v>
      </c>
      <c r="S9" s="42">
        <v>32.0</v>
      </c>
      <c r="T9" s="12">
        <f t="shared" si="10"/>
        <v>3</v>
      </c>
      <c r="U9" s="42">
        <v>11.0</v>
      </c>
      <c r="V9" s="12">
        <f t="shared" si="11"/>
        <v>5</v>
      </c>
      <c r="W9" s="41">
        <v>44.0</v>
      </c>
      <c r="X9" s="12">
        <f t="shared" si="12"/>
        <v>5</v>
      </c>
      <c r="Y9" s="41">
        <v>33.0</v>
      </c>
      <c r="Z9" s="12">
        <f t="shared" si="13"/>
        <v>4</v>
      </c>
      <c r="AA9" s="42">
        <v>43.0</v>
      </c>
      <c r="AB9" s="12">
        <f t="shared" si="14"/>
        <v>5</v>
      </c>
      <c r="AC9" s="42">
        <v>4.0</v>
      </c>
      <c r="AD9" s="12">
        <f t="shared" si="15"/>
        <v>5</v>
      </c>
      <c r="AE9" s="41">
        <v>189.0</v>
      </c>
      <c r="AF9" s="12">
        <f t="shared" si="16"/>
        <v>7</v>
      </c>
      <c r="AG9" s="16">
        <f t="shared" si="17"/>
        <v>9.283236994</v>
      </c>
      <c r="AH9" s="12">
        <f t="shared" si="18"/>
        <v>3</v>
      </c>
      <c r="AI9" s="16">
        <f t="shared" si="19"/>
        <v>0.8439306358</v>
      </c>
      <c r="AJ9" s="12">
        <f t="shared" si="20"/>
        <v>4</v>
      </c>
      <c r="AK9" s="16">
        <f t="shared" si="21"/>
        <v>130.5982659</v>
      </c>
      <c r="AL9" s="12">
        <f t="shared" si="22"/>
        <v>2</v>
      </c>
      <c r="AM9" s="16">
        <f t="shared" si="23"/>
        <v>13.29190751</v>
      </c>
      <c r="AN9" s="12">
        <f t="shared" si="24"/>
        <v>5</v>
      </c>
      <c r="AO9" s="16">
        <f t="shared" si="25"/>
        <v>4.295454545</v>
      </c>
      <c r="AP9" s="12">
        <f t="shared" si="26"/>
        <v>5</v>
      </c>
      <c r="AQ9" s="16">
        <f t="shared" ref="AQ9:AQ11" si="41">AE9/AC9</f>
        <v>47.25</v>
      </c>
      <c r="AR9" s="12">
        <f t="shared" si="27"/>
        <v>3</v>
      </c>
      <c r="AS9" s="17">
        <f t="shared" si="28"/>
        <v>2.909090909</v>
      </c>
      <c r="AT9" s="12">
        <f t="shared" si="29"/>
        <v>3</v>
      </c>
      <c r="AU9" s="16">
        <f t="shared" si="30"/>
        <v>0.3053311793</v>
      </c>
      <c r="AV9" s="12">
        <f t="shared" si="31"/>
        <v>9</v>
      </c>
      <c r="AW9" s="16">
        <f t="shared" si="32"/>
        <v>3</v>
      </c>
      <c r="AX9" s="12">
        <f t="shared" si="33"/>
        <v>6</v>
      </c>
      <c r="AY9" s="16">
        <f t="shared" si="34"/>
        <v>3.119547658</v>
      </c>
      <c r="AZ9" s="12">
        <f t="shared" si="35"/>
        <v>5</v>
      </c>
      <c r="BA9" s="18">
        <f t="shared" si="36"/>
        <v>0.9772727273</v>
      </c>
      <c r="BB9" s="12">
        <f t="shared" si="37"/>
        <v>6</v>
      </c>
      <c r="BC9" s="19">
        <f t="shared" si="38"/>
        <v>118</v>
      </c>
      <c r="BD9" s="19">
        <f t="shared" si="39"/>
        <v>4.72</v>
      </c>
      <c r="BE9" s="15">
        <f t="shared" si="40"/>
        <v>4</v>
      </c>
      <c r="BF9" s="8"/>
    </row>
    <row r="10">
      <c r="A10" s="66" t="s">
        <v>91</v>
      </c>
      <c r="B10" s="67" t="s">
        <v>92</v>
      </c>
      <c r="C10" s="64">
        <v>44871.0</v>
      </c>
      <c r="D10" s="11">
        <f t="shared" si="1"/>
        <v>3.334246575</v>
      </c>
      <c r="E10" s="12">
        <f t="shared" si="2"/>
        <v>8</v>
      </c>
      <c r="F10" s="46">
        <v>45315.0</v>
      </c>
      <c r="G10" s="14">
        <f t="shared" si="3"/>
        <v>2.117808219</v>
      </c>
      <c r="H10" s="12">
        <f t="shared" si="4"/>
        <v>10</v>
      </c>
      <c r="I10" s="41">
        <v>3.8</v>
      </c>
      <c r="J10" s="12">
        <f t="shared" si="5"/>
        <v>9</v>
      </c>
      <c r="K10" s="41">
        <v>21.0</v>
      </c>
      <c r="L10" s="12">
        <f t="shared" si="6"/>
        <v>10</v>
      </c>
      <c r="M10" s="41">
        <v>38.0</v>
      </c>
      <c r="N10" s="12">
        <f t="shared" si="7"/>
        <v>10</v>
      </c>
      <c r="O10" s="42">
        <v>40.0</v>
      </c>
      <c r="P10" s="12">
        <f t="shared" si="8"/>
        <v>8</v>
      </c>
      <c r="Q10" s="42">
        <v>14.0</v>
      </c>
      <c r="R10" s="12">
        <f t="shared" si="9"/>
        <v>9</v>
      </c>
      <c r="S10" s="42">
        <v>4.0</v>
      </c>
      <c r="T10" s="12">
        <f t="shared" si="10"/>
        <v>9</v>
      </c>
      <c r="U10" s="42">
        <v>6.0</v>
      </c>
      <c r="V10" s="12">
        <f t="shared" si="11"/>
        <v>7</v>
      </c>
      <c r="W10" s="41">
        <v>17.0</v>
      </c>
      <c r="X10" s="12">
        <f t="shared" si="12"/>
        <v>9</v>
      </c>
      <c r="Y10" s="41">
        <v>10.0</v>
      </c>
      <c r="Z10" s="12">
        <f t="shared" si="13"/>
        <v>8</v>
      </c>
      <c r="AA10" s="42">
        <v>19.0</v>
      </c>
      <c r="AB10" s="12">
        <f t="shared" si="14"/>
        <v>8</v>
      </c>
      <c r="AC10" s="42">
        <v>0.1</v>
      </c>
      <c r="AD10" s="12">
        <f t="shared" si="15"/>
        <v>9</v>
      </c>
      <c r="AE10" s="41">
        <v>63.0</v>
      </c>
      <c r="AF10" s="12">
        <f t="shared" si="16"/>
        <v>8</v>
      </c>
      <c r="AG10" s="16">
        <f t="shared" si="17"/>
        <v>5.098603122</v>
      </c>
      <c r="AH10" s="12">
        <f t="shared" si="18"/>
        <v>5</v>
      </c>
      <c r="AI10" s="16">
        <f t="shared" si="19"/>
        <v>0.02999178307</v>
      </c>
      <c r="AJ10" s="12">
        <f t="shared" si="20"/>
        <v>9</v>
      </c>
      <c r="AK10" s="16">
        <f t="shared" si="21"/>
        <v>6.298274445</v>
      </c>
      <c r="AL10" s="12">
        <f t="shared" si="22"/>
        <v>8</v>
      </c>
      <c r="AM10" s="16">
        <f t="shared" si="23"/>
        <v>11.99671323</v>
      </c>
      <c r="AN10" s="12">
        <f t="shared" si="24"/>
        <v>6</v>
      </c>
      <c r="AO10" s="16">
        <f t="shared" si="25"/>
        <v>3.705882353</v>
      </c>
      <c r="AP10" s="12">
        <f t="shared" si="26"/>
        <v>6</v>
      </c>
      <c r="AQ10" s="16">
        <f t="shared" si="41"/>
        <v>630</v>
      </c>
      <c r="AR10" s="12">
        <f t="shared" si="27"/>
        <v>1</v>
      </c>
      <c r="AS10" s="17">
        <f t="shared" si="28"/>
        <v>0.6666666667</v>
      </c>
      <c r="AT10" s="12">
        <f t="shared" si="29"/>
        <v>7</v>
      </c>
      <c r="AU10" s="16">
        <f t="shared" si="30"/>
        <v>3</v>
      </c>
      <c r="AV10" s="12">
        <f t="shared" si="31"/>
        <v>3</v>
      </c>
      <c r="AW10" s="16">
        <f t="shared" si="32"/>
        <v>1.575</v>
      </c>
      <c r="AX10" s="12">
        <f t="shared" si="33"/>
        <v>8</v>
      </c>
      <c r="AY10" s="16">
        <f t="shared" si="34"/>
        <v>1.80952381</v>
      </c>
      <c r="AZ10" s="12">
        <f t="shared" si="35"/>
        <v>9</v>
      </c>
      <c r="BA10" s="18">
        <f t="shared" si="36"/>
        <v>1.117647059</v>
      </c>
      <c r="BB10" s="12">
        <f t="shared" si="37"/>
        <v>1</v>
      </c>
      <c r="BC10" s="19">
        <f t="shared" si="38"/>
        <v>185</v>
      </c>
      <c r="BD10" s="19">
        <f t="shared" si="39"/>
        <v>7.4</v>
      </c>
      <c r="BE10" s="15">
        <f t="shared" si="40"/>
        <v>10</v>
      </c>
      <c r="BF10" s="8"/>
    </row>
    <row r="11">
      <c r="A11" s="66" t="s">
        <v>93</v>
      </c>
      <c r="B11" s="67" t="s">
        <v>94</v>
      </c>
      <c r="C11" s="45">
        <v>44942.0</v>
      </c>
      <c r="D11" s="11">
        <f t="shared" si="1"/>
        <v>3.139726027</v>
      </c>
      <c r="E11" s="12">
        <f t="shared" si="2"/>
        <v>9</v>
      </c>
      <c r="F11" s="46">
        <v>45129.0</v>
      </c>
      <c r="G11" s="14">
        <f t="shared" si="3"/>
        <v>2.62739726</v>
      </c>
      <c r="H11" s="12">
        <f t="shared" si="4"/>
        <v>9</v>
      </c>
      <c r="I11" s="41">
        <v>21.0</v>
      </c>
      <c r="J11" s="12">
        <f t="shared" si="5"/>
        <v>3</v>
      </c>
      <c r="K11" s="41">
        <v>1032.0</v>
      </c>
      <c r="L11" s="12">
        <f t="shared" si="6"/>
        <v>1</v>
      </c>
      <c r="M11" s="41">
        <v>46020.0</v>
      </c>
      <c r="N11" s="12">
        <f t="shared" si="7"/>
        <v>1</v>
      </c>
      <c r="O11" s="42">
        <v>136.0</v>
      </c>
      <c r="P11" s="12">
        <f t="shared" si="8"/>
        <v>3</v>
      </c>
      <c r="Q11" s="42">
        <v>14.0</v>
      </c>
      <c r="R11" s="12">
        <f t="shared" si="9"/>
        <v>9</v>
      </c>
      <c r="S11" s="42">
        <v>2.0</v>
      </c>
      <c r="T11" s="12">
        <f t="shared" si="10"/>
        <v>10</v>
      </c>
      <c r="U11" s="42">
        <v>1.0</v>
      </c>
      <c r="V11" s="12">
        <f t="shared" si="11"/>
        <v>9</v>
      </c>
      <c r="W11" s="41">
        <v>4.0</v>
      </c>
      <c r="X11" s="12">
        <f t="shared" si="12"/>
        <v>10</v>
      </c>
      <c r="Y11" s="42">
        <v>0.0</v>
      </c>
      <c r="Z11" s="12">
        <f t="shared" si="13"/>
        <v>10</v>
      </c>
      <c r="AA11" s="42">
        <v>4.0</v>
      </c>
      <c r="AB11" s="12">
        <f t="shared" si="14"/>
        <v>10</v>
      </c>
      <c r="AC11" s="42">
        <v>1.0</v>
      </c>
      <c r="AD11" s="12">
        <f t="shared" si="15"/>
        <v>8</v>
      </c>
      <c r="AE11" s="41">
        <v>5.0</v>
      </c>
      <c r="AF11" s="12">
        <f t="shared" si="16"/>
        <v>10</v>
      </c>
      <c r="AG11" s="16">
        <f t="shared" si="17"/>
        <v>1.27399651</v>
      </c>
      <c r="AH11" s="12">
        <f t="shared" si="18"/>
        <v>10</v>
      </c>
      <c r="AI11" s="16">
        <f t="shared" si="19"/>
        <v>0.3184991274</v>
      </c>
      <c r="AJ11" s="12">
        <f t="shared" si="20"/>
        <v>6</v>
      </c>
      <c r="AK11" s="16">
        <f t="shared" si="21"/>
        <v>328.6910995</v>
      </c>
      <c r="AL11" s="12">
        <f t="shared" si="22"/>
        <v>1</v>
      </c>
      <c r="AM11" s="16">
        <f t="shared" si="23"/>
        <v>43.31588133</v>
      </c>
      <c r="AN11" s="12">
        <f t="shared" si="24"/>
        <v>2</v>
      </c>
      <c r="AO11" s="16">
        <f t="shared" si="25"/>
        <v>1.25</v>
      </c>
      <c r="AP11" s="12">
        <f t="shared" si="26"/>
        <v>10</v>
      </c>
      <c r="AQ11" s="16">
        <f t="shared" si="41"/>
        <v>5</v>
      </c>
      <c r="AR11" s="12">
        <f t="shared" si="27"/>
        <v>5</v>
      </c>
      <c r="AS11" s="17">
        <f t="shared" si="28"/>
        <v>2</v>
      </c>
      <c r="AT11" s="12">
        <f t="shared" si="29"/>
        <v>4</v>
      </c>
      <c r="AU11" s="16">
        <f t="shared" si="30"/>
        <v>0.00484496124</v>
      </c>
      <c r="AV11" s="12">
        <f t="shared" si="31"/>
        <v>10</v>
      </c>
      <c r="AW11" s="16">
        <f t="shared" si="32"/>
        <v>0.03676470588</v>
      </c>
      <c r="AX11" s="12">
        <f t="shared" si="33"/>
        <v>10</v>
      </c>
      <c r="AY11" s="16">
        <f t="shared" si="34"/>
        <v>44.59302326</v>
      </c>
      <c r="AZ11" s="12">
        <f t="shared" si="35"/>
        <v>1</v>
      </c>
      <c r="BA11" s="18">
        <f t="shared" si="36"/>
        <v>1</v>
      </c>
      <c r="BB11" s="12">
        <f t="shared" si="37"/>
        <v>2</v>
      </c>
      <c r="BC11" s="19">
        <f t="shared" si="38"/>
        <v>163</v>
      </c>
      <c r="BD11" s="19">
        <f t="shared" si="39"/>
        <v>6.52</v>
      </c>
      <c r="BE11" s="15">
        <f t="shared" si="40"/>
        <v>9</v>
      </c>
      <c r="BF11" s="8"/>
    </row>
    <row r="12">
      <c r="A12" s="28" t="s">
        <v>43</v>
      </c>
      <c r="B12" s="8"/>
      <c r="C12" s="8"/>
      <c r="D12" s="29">
        <f>AVERAGE(D2:D11)</f>
        <v>10.32328767</v>
      </c>
      <c r="E12" s="30"/>
      <c r="F12" s="8"/>
      <c r="G12" s="29">
        <f>AVERAGE(G2:G11)</f>
        <v>10.84246575</v>
      </c>
      <c r="H12" s="8"/>
      <c r="I12" s="29">
        <f>AVERAGE(I2:I11)</f>
        <v>11.33</v>
      </c>
      <c r="J12" s="8"/>
      <c r="K12" s="29">
        <f>AVERAGE(K2:K11)</f>
        <v>302</v>
      </c>
      <c r="L12" s="8"/>
      <c r="M12" s="29">
        <f>AVERAGE(M2:M11)</f>
        <v>5497.4</v>
      </c>
      <c r="N12" s="8"/>
      <c r="O12" s="29">
        <f>AVERAGE(O2:O11)</f>
        <v>131.3</v>
      </c>
      <c r="P12" s="8"/>
      <c r="Q12" s="29">
        <f>AVERAGE(Q2:Q11)</f>
        <v>20.6</v>
      </c>
      <c r="R12" s="8"/>
      <c r="S12" s="29">
        <f>AVERAGE(S2:S11)</f>
        <v>18.2</v>
      </c>
      <c r="T12" s="8"/>
      <c r="U12" s="29">
        <f>AVERAGE(U2:U11)</f>
        <v>23.6</v>
      </c>
      <c r="V12" s="8"/>
      <c r="W12" s="29">
        <f>AVERAGE(W2:W11)</f>
        <v>120.1</v>
      </c>
      <c r="X12" s="8"/>
      <c r="Y12" s="29">
        <f>AVERAGE(Y2:Y11)</f>
        <v>59.8</v>
      </c>
      <c r="Z12" s="8"/>
      <c r="AA12" s="29">
        <f>AVERAGE(AA2:AA11)</f>
        <v>116.8</v>
      </c>
      <c r="AB12" s="8"/>
      <c r="AC12" s="29">
        <f>AVERAGE(AC2:AC11)</f>
        <v>64.92</v>
      </c>
      <c r="AD12" s="8"/>
      <c r="AE12" s="29">
        <f>AVERAGE(AE2:AE11)</f>
        <v>433.3</v>
      </c>
      <c r="AF12" s="8"/>
      <c r="AG12" s="29">
        <f>AVERAGE(AG2:AG11)</f>
        <v>18.46992418</v>
      </c>
      <c r="AH12" s="8"/>
      <c r="AI12" s="29">
        <f>AVERAGE(AI2:AI11)</f>
        <v>11.16875281</v>
      </c>
      <c r="AJ12" s="8"/>
      <c r="AK12" s="29">
        <f>AVERAGE(AK2:AK11)</f>
        <v>65.80234065</v>
      </c>
      <c r="AL12" s="8"/>
      <c r="AM12" s="29">
        <f>AVERAGE(AM2:AM11)</f>
        <v>21.20149391</v>
      </c>
      <c r="AN12" s="8"/>
      <c r="AO12" s="29">
        <f>AVERAGE(AO2:AO11)</f>
        <v>5.050013631</v>
      </c>
      <c r="AP12" s="8"/>
      <c r="AQ12" s="29">
        <f>AVERAGE(AQ2:AQ11)</f>
        <v>116.500891</v>
      </c>
      <c r="AR12" s="8"/>
      <c r="AS12" s="29">
        <f>AVERAGE(AS2:AS11)</f>
        <v>2.013435135</v>
      </c>
      <c r="AT12" s="8"/>
      <c r="AU12" s="29">
        <f>AVERAGE(AU2:AU11)</f>
        <v>2.612886264</v>
      </c>
      <c r="AV12" s="8"/>
      <c r="AW12" s="29">
        <f>AVERAGE(AW2:AW11)</f>
        <v>8.464798469</v>
      </c>
      <c r="AX12" s="8"/>
      <c r="AY12" s="29">
        <f>AVERAGE(AY2:AY11)</f>
        <v>9.172166562</v>
      </c>
      <c r="AZ12" s="8"/>
      <c r="BA12" s="29">
        <f>AVERAGE(BA2:BA11)</f>
        <v>0.9795011895</v>
      </c>
      <c r="BB12" s="8"/>
      <c r="BC12" s="29">
        <f>AVERAGE(BC2:BC11)</f>
        <v>135</v>
      </c>
      <c r="BD12" s="8"/>
      <c r="BE12" s="8"/>
      <c r="BF12" s="8"/>
    </row>
    <row r="13">
      <c r="A13" s="31" t="s">
        <v>44</v>
      </c>
      <c r="B13" s="8"/>
      <c r="C13" s="8"/>
      <c r="D13" s="32">
        <f>MEDIAN(D2:D11)</f>
        <v>9.195890411</v>
      </c>
      <c r="E13" s="30"/>
      <c r="F13" s="8"/>
      <c r="G13" s="32">
        <f>MEDIAN(G2:G11)</f>
        <v>12.90821918</v>
      </c>
      <c r="H13" s="8"/>
      <c r="I13" s="32">
        <f>MEDIAN(I2:I11)</f>
        <v>7.5</v>
      </c>
      <c r="J13" s="8"/>
      <c r="K13" s="32">
        <f>MEDIAN(K2:K11)</f>
        <v>144</v>
      </c>
      <c r="L13" s="8"/>
      <c r="M13" s="32">
        <f>MEDIAN(M2:M11)</f>
        <v>1197</v>
      </c>
      <c r="N13" s="8"/>
      <c r="O13" s="32">
        <f>MEDIAN(O2:O11)</f>
        <v>73.5</v>
      </c>
      <c r="P13" s="8"/>
      <c r="Q13" s="32">
        <f>MEDIAN(Q2:Q11)</f>
        <v>21.5</v>
      </c>
      <c r="R13" s="8"/>
      <c r="S13" s="32">
        <f>MEDIAN(S2:S11)</f>
        <v>12</v>
      </c>
      <c r="T13" s="8"/>
      <c r="U13" s="32">
        <f>MEDIAN(U2:U11)</f>
        <v>10.5</v>
      </c>
      <c r="V13" s="8"/>
      <c r="W13" s="32">
        <f>MEDIAN(W2:W11)</f>
        <v>42</v>
      </c>
      <c r="X13" s="8"/>
      <c r="Y13" s="32">
        <f>MEDIAN(Y2:Y11)</f>
        <v>27</v>
      </c>
      <c r="Z13" s="8"/>
      <c r="AA13" s="32">
        <f>MEDIAN(AA2:AA11)</f>
        <v>41.5</v>
      </c>
      <c r="AB13" s="8"/>
      <c r="AC13" s="32">
        <f>MEDIAN(AC2:AC11)</f>
        <v>3</v>
      </c>
      <c r="AD13" s="8"/>
      <c r="AE13" s="32">
        <f>MEDIAN(AE2:AE11)</f>
        <v>208</v>
      </c>
      <c r="AF13" s="8"/>
      <c r="AG13" s="32">
        <f>MEDIAN(AG2:AG11)</f>
        <v>4.852431294</v>
      </c>
      <c r="AH13" s="8"/>
      <c r="AI13" s="32">
        <f>MEDIAN(AI2:AI11)</f>
        <v>0.5319059587</v>
      </c>
      <c r="AJ13" s="8"/>
      <c r="AK13" s="32">
        <f>MEDIAN(AK2:AK11)</f>
        <v>17.90247205</v>
      </c>
      <c r="AL13" s="8"/>
      <c r="AM13" s="32">
        <f>MEDIAN(AM2:AM11)</f>
        <v>12.64431037</v>
      </c>
      <c r="AN13" s="8"/>
      <c r="AO13" s="32">
        <f>MEDIAN(AO2:AO11)</f>
        <v>4.000668449</v>
      </c>
      <c r="AP13" s="8"/>
      <c r="AQ13" s="32">
        <f>MEDIAN(AQ2:AQ11)</f>
        <v>3.879454927</v>
      </c>
      <c r="AR13" s="8"/>
      <c r="AS13" s="32">
        <f>MEDIAN(AS2:AS11)</f>
        <v>1.10483871</v>
      </c>
      <c r="AT13" s="8"/>
      <c r="AU13" s="32">
        <f>MEDIAN(AU2:AU11)</f>
        <v>2.601670136</v>
      </c>
      <c r="AV13" s="8"/>
      <c r="AW13" s="32">
        <f>MEDIAN(AW2:AW11)</f>
        <v>3.875451264</v>
      </c>
      <c r="AX13" s="8"/>
      <c r="AY13" s="32">
        <f>MEDIAN(AY2:AY11)</f>
        <v>2.957209726</v>
      </c>
      <c r="AZ13" s="8"/>
      <c r="BA13" s="32">
        <f>MEDIAN(BA2:BA11)</f>
        <v>0.9808238636</v>
      </c>
      <c r="BB13" s="8"/>
      <c r="BC13" s="32">
        <f>MEDIAN(BC2:BC11)</f>
        <v>131.5</v>
      </c>
      <c r="BD13" s="8"/>
      <c r="BE13" s="8"/>
      <c r="BF13" s="8"/>
    </row>
    <row r="14">
      <c r="A14" s="28" t="s">
        <v>45</v>
      </c>
      <c r="B14" s="8"/>
      <c r="C14" s="8"/>
      <c r="D14" s="29">
        <f>MAX(D2:D11)</f>
        <v>20.35068493</v>
      </c>
      <c r="E14" s="30"/>
      <c r="F14" s="8"/>
      <c r="G14" s="29">
        <f>MAX(G2:G11)</f>
        <v>17.68219178</v>
      </c>
      <c r="H14" s="8"/>
      <c r="I14" s="29">
        <f>MAX(I2:I11)</f>
        <v>25</v>
      </c>
      <c r="J14" s="8"/>
      <c r="K14" s="29">
        <f>MAX(K2:K11)</f>
        <v>1032</v>
      </c>
      <c r="L14" s="8"/>
      <c r="M14" s="29">
        <f>MAX(M2:M11)</f>
        <v>46020</v>
      </c>
      <c r="N14" s="8"/>
      <c r="O14" s="29">
        <f>MAX(O2:O11)</f>
        <v>560</v>
      </c>
      <c r="P14" s="8"/>
      <c r="Q14" s="29">
        <f>MAX(Q2:Q11)</f>
        <v>27</v>
      </c>
      <c r="R14" s="8"/>
      <c r="S14" s="29">
        <f>MAX(S2:S11)</f>
        <v>43</v>
      </c>
      <c r="T14" s="8"/>
      <c r="U14" s="29">
        <f>MAX(U2:U11)</f>
        <v>74</v>
      </c>
      <c r="V14" s="8"/>
      <c r="W14" s="29">
        <f>MAX(W2:W11)</f>
        <v>640</v>
      </c>
      <c r="X14" s="8"/>
      <c r="Y14" s="29">
        <f>MAX(Y2:Y11)</f>
        <v>254</v>
      </c>
      <c r="Z14" s="8"/>
      <c r="AA14" s="29">
        <f>MAX(AA2:AA11)</f>
        <v>630</v>
      </c>
      <c r="AB14" s="8"/>
      <c r="AC14" s="29">
        <f>MAX(AC2:AC11)</f>
        <v>477</v>
      </c>
      <c r="AD14" s="8"/>
      <c r="AE14" s="29">
        <f>MAX(AE2:AE11)</f>
        <v>1316</v>
      </c>
      <c r="AF14" s="8"/>
      <c r="AG14" s="29">
        <f>MAX(AG2:AG11)</f>
        <v>127.6502732</v>
      </c>
      <c r="AH14" s="8"/>
      <c r="AI14" s="29">
        <f>MAX(AI2:AI11)</f>
        <v>95.13934426</v>
      </c>
      <c r="AJ14" s="8"/>
      <c r="AK14" s="29">
        <f>MAX(AK2:AK11)</f>
        <v>328.6910995</v>
      </c>
      <c r="AL14" s="8"/>
      <c r="AM14" s="29">
        <f>MAX(AM2:AM11)</f>
        <v>55.24863388</v>
      </c>
      <c r="AN14" s="8"/>
      <c r="AO14" s="29">
        <f>MAX(AO2:AO11)</f>
        <v>12.61333333</v>
      </c>
      <c r="AP14" s="8"/>
      <c r="AQ14" s="29">
        <f>MAX(AQ2:AQ11)</f>
        <v>630</v>
      </c>
      <c r="AR14" s="8"/>
      <c r="AS14" s="29">
        <f>MAX(AS2:AS11)</f>
        <v>8</v>
      </c>
      <c r="AT14" s="8"/>
      <c r="AU14" s="29">
        <f>MAX(AU2:AU11)</f>
        <v>8.6</v>
      </c>
      <c r="AV14" s="8"/>
      <c r="AW14" s="29">
        <f>MAX(AW2:AW11)</f>
        <v>27</v>
      </c>
      <c r="AX14" s="8"/>
      <c r="AY14" s="29">
        <f>MAX(AY2:AY11)</f>
        <v>44.59302326</v>
      </c>
      <c r="AZ14" s="8"/>
      <c r="BA14" s="29">
        <f>MAX(BA2:BA11)</f>
        <v>1.117647059</v>
      </c>
      <c r="BB14" s="8"/>
      <c r="BC14" s="29">
        <f>MAX(BC2:BC11)</f>
        <v>185</v>
      </c>
      <c r="BD14" s="8"/>
      <c r="BE14" s="8"/>
      <c r="BF14" s="8"/>
    </row>
    <row r="15">
      <c r="A15" s="28" t="s">
        <v>46</v>
      </c>
      <c r="B15" s="8"/>
      <c r="C15" s="8"/>
      <c r="D15" s="29">
        <f>MIN(D2:D11)</f>
        <v>2.435616438</v>
      </c>
      <c r="E15" s="30"/>
      <c r="F15" s="8"/>
      <c r="G15" s="29">
        <f>MIN(G2:G11)</f>
        <v>2.117808219</v>
      </c>
      <c r="H15" s="8"/>
      <c r="I15" s="29">
        <f>MIN(I2:I11)</f>
        <v>2.5</v>
      </c>
      <c r="J15" s="8"/>
      <c r="K15" s="29">
        <f>MIN(K2:K11)</f>
        <v>21</v>
      </c>
      <c r="L15" s="8"/>
      <c r="M15" s="29">
        <f>MIN(M2:M11)</f>
        <v>38</v>
      </c>
      <c r="N15" s="8"/>
      <c r="O15" s="29">
        <f>MIN(O2:O11)</f>
        <v>8</v>
      </c>
      <c r="P15" s="8"/>
      <c r="Q15" s="29">
        <f>MIN(Q2:Q11)</f>
        <v>14</v>
      </c>
      <c r="R15" s="8"/>
      <c r="S15" s="29">
        <f>MIN(S2:S11)</f>
        <v>2</v>
      </c>
      <c r="T15" s="8"/>
      <c r="U15" s="29">
        <f>MIN(U2:U11)</f>
        <v>1</v>
      </c>
      <c r="V15" s="8"/>
      <c r="W15" s="29">
        <f>MIN(W2:W11)</f>
        <v>4</v>
      </c>
      <c r="X15" s="8"/>
      <c r="Y15" s="29">
        <f>MIN(Y2:Y11)</f>
        <v>0</v>
      </c>
      <c r="Z15" s="8"/>
      <c r="AA15" s="29">
        <f>MIN(AA2:AA11)</f>
        <v>4</v>
      </c>
      <c r="AB15" s="8"/>
      <c r="AC15" s="29">
        <f>MIN(AC2:AC11)</f>
        <v>0.1</v>
      </c>
      <c r="AD15" s="8"/>
      <c r="AE15" s="29">
        <f>MIN(AE2:AE11)</f>
        <v>5</v>
      </c>
      <c r="AF15" s="8"/>
      <c r="AG15" s="29">
        <f>MIN(AG2:AG11)</f>
        <v>1.27399651</v>
      </c>
      <c r="AH15" s="8"/>
      <c r="AI15" s="29">
        <f>MIN(AI2:AI11)</f>
        <v>0.005050505051</v>
      </c>
      <c r="AJ15" s="8"/>
      <c r="AK15" s="29">
        <f>MIN(AK2:AK11)</f>
        <v>2.948303716</v>
      </c>
      <c r="AL15" s="8"/>
      <c r="AM15" s="29">
        <f>MIN(AM2:AM11)</f>
        <v>0.404040404</v>
      </c>
      <c r="AN15" s="8"/>
      <c r="AO15" s="29">
        <f>MIN(AO2:AO11)</f>
        <v>1.25</v>
      </c>
      <c r="AP15" s="8"/>
      <c r="AQ15" s="29">
        <f>MIN(AQ2:AQ11)</f>
        <v>0</v>
      </c>
      <c r="AR15" s="8"/>
      <c r="AS15" s="29">
        <f>MIN(AS2:AS11)</f>
        <v>0.1923076923</v>
      </c>
      <c r="AT15" s="8"/>
      <c r="AU15" s="29">
        <f>MIN(AU2:AU11)</f>
        <v>0.00484496124</v>
      </c>
      <c r="AV15" s="8"/>
      <c r="AW15" s="29">
        <f>MIN(AW2:AW11)</f>
        <v>0.03676470588</v>
      </c>
      <c r="AX15" s="8"/>
      <c r="AY15" s="29">
        <f>MIN(AY2:AY11)</f>
        <v>1.333333333</v>
      </c>
      <c r="AZ15" s="8"/>
      <c r="BA15" s="29">
        <f>MIN(BA2:BA11)</f>
        <v>0.8636363636</v>
      </c>
      <c r="BB15" s="8"/>
      <c r="BC15" s="29">
        <f>MIN(BC2:BC11)</f>
        <v>92</v>
      </c>
      <c r="BD15" s="8"/>
      <c r="BE15" s="8"/>
      <c r="BF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row>
  </sheetData>
  <hyperlinks>
    <hyperlink r:id="rId1" ref="C1"/>
    <hyperlink r:id="rId2" ref="F1"/>
    <hyperlink r:id="rId3" ref="I1"/>
    <hyperlink r:id="rId4" ref="AA1"/>
    <hyperlink r:id="rId5" ref="B2"/>
    <hyperlink r:id="rId6" ref="B3"/>
    <hyperlink r:id="rId7" ref="B4"/>
    <hyperlink r:id="rId8" ref="B5"/>
    <hyperlink r:id="rId9" ref="B6"/>
    <hyperlink r:id="rId10" ref="B7"/>
    <hyperlink r:id="rId11" ref="B8"/>
    <hyperlink r:id="rId12" ref="B9"/>
    <hyperlink r:id="rId13" ref="B10"/>
    <hyperlink r:id="rId14" ref="B11"/>
  </hyperlinks>
  <printOptions gridLines="1" horizontalCentered="1"/>
  <pageMargins bottom="0.75" footer="0.0" header="0.0" left="0.7" right="0.7" top="0.75"/>
  <pageSetup fitToHeight="0" cellComments="atEnd" orientation="landscape" pageOrder="overThenDown"/>
  <drawing r:id="rId1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0"/>
    <col customWidth="1" min="2" max="2" width="33.75"/>
    <col customWidth="1" min="3" max="3" width="15.38"/>
    <col customWidth="1" min="6" max="6" width="21.38"/>
  </cols>
  <sheetData>
    <row r="1">
      <c r="A1" s="1" t="s">
        <v>0</v>
      </c>
      <c r="B1" s="1" t="s">
        <v>95</v>
      </c>
      <c r="C1" s="33" t="s">
        <v>96</v>
      </c>
      <c r="D1" s="3" t="s">
        <v>3</v>
      </c>
      <c r="E1" s="4" t="s">
        <v>4</v>
      </c>
      <c r="F1" s="34" t="s">
        <v>97</v>
      </c>
      <c r="G1" s="5" t="s">
        <v>6</v>
      </c>
      <c r="H1" s="4" t="s">
        <v>4</v>
      </c>
      <c r="I1" s="35" t="s">
        <v>98</v>
      </c>
      <c r="J1" s="4" t="s">
        <v>4</v>
      </c>
      <c r="K1" s="36" t="s">
        <v>99</v>
      </c>
      <c r="L1" s="4" t="s">
        <v>4</v>
      </c>
      <c r="M1" s="36" t="s">
        <v>100</v>
      </c>
      <c r="N1" s="4" t="s">
        <v>4</v>
      </c>
      <c r="O1" s="36" t="s">
        <v>101</v>
      </c>
      <c r="P1" s="4" t="s">
        <v>4</v>
      </c>
      <c r="Q1" s="36" t="s">
        <v>102</v>
      </c>
      <c r="R1" s="4" t="s">
        <v>4</v>
      </c>
      <c r="S1" s="36" t="s">
        <v>103</v>
      </c>
      <c r="T1" s="4" t="s">
        <v>4</v>
      </c>
      <c r="U1" s="36" t="s">
        <v>104</v>
      </c>
      <c r="V1" s="4" t="s">
        <v>4</v>
      </c>
      <c r="W1" s="36" t="s">
        <v>105</v>
      </c>
      <c r="X1" s="4" t="s">
        <v>4</v>
      </c>
      <c r="Y1" s="36" t="s">
        <v>106</v>
      </c>
      <c r="Z1" s="4" t="s">
        <v>4</v>
      </c>
      <c r="AA1" s="35" t="s">
        <v>107</v>
      </c>
      <c r="AB1" s="4" t="s">
        <v>4</v>
      </c>
      <c r="AC1" s="36" t="s">
        <v>108</v>
      </c>
      <c r="AD1" s="4" t="s">
        <v>4</v>
      </c>
      <c r="AE1" s="36" t="s">
        <v>109</v>
      </c>
      <c r="AF1" s="4" t="s">
        <v>4</v>
      </c>
      <c r="AG1" s="1" t="s">
        <v>110</v>
      </c>
      <c r="AH1" s="4" t="s">
        <v>4</v>
      </c>
      <c r="AI1" s="1" t="s">
        <v>111</v>
      </c>
      <c r="AJ1" s="4" t="s">
        <v>4</v>
      </c>
      <c r="AK1" s="1" t="s">
        <v>112</v>
      </c>
      <c r="AL1" s="4" t="s">
        <v>4</v>
      </c>
      <c r="AM1" s="1" t="s">
        <v>113</v>
      </c>
      <c r="AN1" s="4" t="s">
        <v>4</v>
      </c>
      <c r="AO1" s="1" t="s">
        <v>114</v>
      </c>
      <c r="AP1" s="4" t="s">
        <v>4</v>
      </c>
      <c r="AQ1" s="36" t="s">
        <v>115</v>
      </c>
      <c r="AR1" s="4" t="s">
        <v>4</v>
      </c>
      <c r="AS1" s="6" t="s">
        <v>116</v>
      </c>
      <c r="AT1" s="4" t="s">
        <v>4</v>
      </c>
      <c r="AU1" s="1" t="s">
        <v>117</v>
      </c>
      <c r="AV1" s="4" t="s">
        <v>4</v>
      </c>
      <c r="AW1" s="1" t="s">
        <v>118</v>
      </c>
      <c r="AX1" s="4" t="s">
        <v>4</v>
      </c>
      <c r="AY1" s="1" t="s">
        <v>119</v>
      </c>
      <c r="AZ1" s="4" t="s">
        <v>4</v>
      </c>
      <c r="BA1" s="1" t="s">
        <v>120</v>
      </c>
      <c r="BB1" s="4" t="s">
        <v>4</v>
      </c>
      <c r="BC1" s="1" t="s">
        <v>121</v>
      </c>
      <c r="BD1" s="7" t="s">
        <v>122</v>
      </c>
      <c r="BE1" s="7" t="s">
        <v>32</v>
      </c>
      <c r="BF1" s="8"/>
    </row>
    <row r="2">
      <c r="A2" s="66" t="s">
        <v>93</v>
      </c>
      <c r="B2" s="67" t="s">
        <v>94</v>
      </c>
      <c r="C2" s="45">
        <v>44942.0</v>
      </c>
      <c r="D2" s="11">
        <f t="shared" ref="D2:D11" si="1">(TODAY()-C2)/365</f>
        <v>3.139726027</v>
      </c>
      <c r="E2" s="12">
        <f t="shared" ref="E2:E11" si="2">RANK(D2,D$2:D$11)</f>
        <v>9</v>
      </c>
      <c r="F2" s="46">
        <v>45129.0</v>
      </c>
      <c r="G2" s="14">
        <f t="shared" ref="G2:G11" si="3">(TODAY()-F2)/365</f>
        <v>2.62739726</v>
      </c>
      <c r="H2" s="12">
        <f t="shared" ref="H2:H11" si="4">RANK(G2,G$2:G$11)</f>
        <v>9</v>
      </c>
      <c r="I2" s="41">
        <v>21.0</v>
      </c>
      <c r="J2" s="12">
        <f t="shared" ref="J2:J11" si="5">RANK(I2,I$2:I$11)</f>
        <v>3</v>
      </c>
      <c r="K2" s="41">
        <v>1032.0</v>
      </c>
      <c r="L2" s="12">
        <f t="shared" ref="L2:L11" si="6">RANK(K2,K$2:K$11)</f>
        <v>1</v>
      </c>
      <c r="M2" s="41">
        <v>46020.0</v>
      </c>
      <c r="N2" s="12">
        <f t="shared" ref="N2:N11" si="7">RANK(M2,M$2:M$11)</f>
        <v>1</v>
      </c>
      <c r="O2" s="42">
        <v>136.0</v>
      </c>
      <c r="P2" s="12">
        <f t="shared" ref="P2:P11" si="8">RANK(O2,O$2:O$11)</f>
        <v>3</v>
      </c>
      <c r="Q2" s="42">
        <v>14.0</v>
      </c>
      <c r="R2" s="12">
        <f t="shared" ref="R2:R11" si="9">RANK(Q2,Q$2:Q$11)</f>
        <v>9</v>
      </c>
      <c r="S2" s="42">
        <v>2.0</v>
      </c>
      <c r="T2" s="12">
        <f t="shared" ref="T2:T11" si="10">RANK(S2,S$2:S$11)</f>
        <v>10</v>
      </c>
      <c r="U2" s="42">
        <v>1.0</v>
      </c>
      <c r="V2" s="12">
        <f t="shared" ref="V2:V11" si="11">RANK(U2,U$2:U$11)</f>
        <v>9</v>
      </c>
      <c r="W2" s="41">
        <v>4.0</v>
      </c>
      <c r="X2" s="12">
        <f t="shared" ref="X2:X11" si="12">RANK(W2,W$2:W$11)</f>
        <v>10</v>
      </c>
      <c r="Y2" s="42">
        <v>0.0</v>
      </c>
      <c r="Z2" s="12">
        <f t="shared" ref="Z2:Z11" si="13">RANK(Y2,Y$2:Y$11)</f>
        <v>10</v>
      </c>
      <c r="AA2" s="42">
        <v>4.0</v>
      </c>
      <c r="AB2" s="12">
        <f t="shared" ref="AB2:AB11" si="14">RANK(AA2,AA$2:AA$11)</f>
        <v>10</v>
      </c>
      <c r="AC2" s="42">
        <v>1.0</v>
      </c>
      <c r="AD2" s="12">
        <f t="shared" ref="AD2:AD11" si="15">RANK(AC2,AC$2:AC$11)</f>
        <v>8</v>
      </c>
      <c r="AE2" s="41">
        <v>5.0</v>
      </c>
      <c r="AF2" s="12">
        <f t="shared" ref="AF2:AF11" si="16">RANK(AE2,AE$2:AE$11)</f>
        <v>10</v>
      </c>
      <c r="AG2" s="16">
        <f t="shared" ref="AG2:AG11" si="17">W2/D2</f>
        <v>1.27399651</v>
      </c>
      <c r="AH2" s="12">
        <f t="shared" ref="AH2:AH11" si="18">RANK(AG2,AG$2:AG$11)</f>
        <v>10</v>
      </c>
      <c r="AI2" s="16">
        <f t="shared" ref="AI2:AI11" si="19">AC2/D2</f>
        <v>0.3184991274</v>
      </c>
      <c r="AJ2" s="12">
        <f t="shared" ref="AJ2:AJ11" si="20">RANK(AI2,AI$2:AI$11)</f>
        <v>6</v>
      </c>
      <c r="AK2" s="16">
        <f t="shared" ref="AK2:AK11" si="21">K2/D2</f>
        <v>328.6910995</v>
      </c>
      <c r="AL2" s="12">
        <f t="shared" ref="AL2:AL11" si="22">RANK(AK2,AK$2:AK$11)</f>
        <v>1</v>
      </c>
      <c r="AM2" s="16">
        <f t="shared" ref="AM2:AM11" si="23">O2/D2</f>
        <v>43.31588133</v>
      </c>
      <c r="AN2" s="12">
        <f t="shared" ref="AN2:AN11" si="24">RANK(AM2,AM$2:AM$11)</f>
        <v>2</v>
      </c>
      <c r="AO2" s="16">
        <f t="shared" ref="AO2:AO11" si="25">AE2/W2</f>
        <v>1.25</v>
      </c>
      <c r="AP2" s="12">
        <f t="shared" ref="AP2:AP11" si="26">RANK(AO2,AO$2:AO$11)</f>
        <v>10</v>
      </c>
      <c r="AQ2" s="16">
        <f t="shared" ref="AQ2:AQ4" si="27">AE2/AC2</f>
        <v>5</v>
      </c>
      <c r="AR2" s="12">
        <f t="shared" ref="AR2:AR11" si="28">RANK(AQ2,AQ$2:AQ$11)</f>
        <v>5</v>
      </c>
      <c r="AS2" s="17">
        <f t="shared" ref="AS2:AS11" si="29">S2/U2</f>
        <v>2</v>
      </c>
      <c r="AT2" s="12">
        <f t="shared" ref="AT2:AT11" si="30">RANK(AS2,AS$2:AS$11)</f>
        <v>4</v>
      </c>
      <c r="AU2" s="16">
        <f t="shared" ref="AU2:AU11" si="31">AE2/K2</f>
        <v>0.00484496124</v>
      </c>
      <c r="AV2" s="12">
        <f t="shared" ref="AV2:AV11" si="32">RANK(AU2,AU$2:AU$11)</f>
        <v>10</v>
      </c>
      <c r="AW2" s="16">
        <f t="shared" ref="AW2:AW11" si="33">AE2/O2</f>
        <v>0.03676470588</v>
      </c>
      <c r="AX2" s="12">
        <f t="shared" ref="AX2:AX11" si="34">RANK(AW2,AW$2:AW$11)</f>
        <v>10</v>
      </c>
      <c r="AY2" s="16">
        <f t="shared" ref="AY2:AY11" si="35">M2/K2</f>
        <v>44.59302326</v>
      </c>
      <c r="AZ2" s="12">
        <f t="shared" ref="AZ2:AZ11" si="36">RANK(AY2,AY$2:AY$11)</f>
        <v>1</v>
      </c>
      <c r="BA2" s="18">
        <f t="shared" ref="BA2:BA11" si="37">AA2/W2</f>
        <v>1</v>
      </c>
      <c r="BB2" s="12">
        <f t="shared" ref="BB2:BB11" si="38">RANK(BA2,BA$2:BA$11)</f>
        <v>2</v>
      </c>
      <c r="BC2" s="19">
        <f t="shared" ref="BC2:BC11" si="39">SUM(BB2,AZ2,AX2,AV2,AT2,AR2,AP2,AN2,AL2,AJ2,AH2,AF2,AD2,AB2,Z2,X2,V2,T2,R2,P2,N2,L2,J2,H2,E2)</f>
        <v>163</v>
      </c>
      <c r="BD2" s="19">
        <f t="shared" ref="BD2:BD11" si="40">AVERAGE(BB2,AZ2,AX2,AV2,AT2,AR2,AP2,AN2,AL2,AJ2,AH2,AF2,AD2,AB2,Z2,X2,V2,T2,R2,P2,N2,L2,J2,H2,E2)</f>
        <v>6.52</v>
      </c>
      <c r="BE2" s="15">
        <f t="shared" ref="BE2:BE11" si="41">RANK(BC2, BC$2:BC$11, TRUE)</f>
        <v>9</v>
      </c>
      <c r="BF2" s="8"/>
    </row>
    <row r="3">
      <c r="A3" s="37" t="s">
        <v>75</v>
      </c>
      <c r="B3" s="38" t="s">
        <v>76</v>
      </c>
      <c r="C3" s="39">
        <v>45199.0</v>
      </c>
      <c r="D3" s="11">
        <f t="shared" si="1"/>
        <v>2.435616438</v>
      </c>
      <c r="E3" s="12">
        <f t="shared" si="2"/>
        <v>10</v>
      </c>
      <c r="F3" s="40">
        <v>42407.0</v>
      </c>
      <c r="G3" s="14">
        <f t="shared" si="3"/>
        <v>10.08493151</v>
      </c>
      <c r="H3" s="12">
        <f t="shared" si="4"/>
        <v>7</v>
      </c>
      <c r="I3" s="41">
        <v>8.0</v>
      </c>
      <c r="J3" s="12">
        <f t="shared" si="5"/>
        <v>5</v>
      </c>
      <c r="K3" s="41">
        <v>117.0</v>
      </c>
      <c r="L3" s="12">
        <f t="shared" si="6"/>
        <v>6</v>
      </c>
      <c r="M3" s="41">
        <v>327.0</v>
      </c>
      <c r="N3" s="12">
        <f t="shared" si="7"/>
        <v>7</v>
      </c>
      <c r="O3" s="42">
        <v>90.0</v>
      </c>
      <c r="P3" s="12">
        <f t="shared" si="8"/>
        <v>4</v>
      </c>
      <c r="Q3" s="42">
        <v>25.0</v>
      </c>
      <c r="R3" s="12">
        <f t="shared" si="9"/>
        <v>2</v>
      </c>
      <c r="S3" s="42">
        <v>5.0</v>
      </c>
      <c r="T3" s="12">
        <f t="shared" si="10"/>
        <v>8</v>
      </c>
      <c r="U3" s="42">
        <v>26.0</v>
      </c>
      <c r="V3" s="12">
        <f t="shared" si="11"/>
        <v>4</v>
      </c>
      <c r="W3" s="41">
        <v>22.0</v>
      </c>
      <c r="X3" s="12">
        <f t="shared" si="12"/>
        <v>8</v>
      </c>
      <c r="Y3" s="41">
        <v>8.0</v>
      </c>
      <c r="Z3" s="12">
        <f t="shared" si="13"/>
        <v>9</v>
      </c>
      <c r="AA3" s="42">
        <v>19.0</v>
      </c>
      <c r="AB3" s="12">
        <f t="shared" si="14"/>
        <v>8</v>
      </c>
      <c r="AC3" s="42">
        <v>9.0</v>
      </c>
      <c r="AD3" s="12">
        <f t="shared" si="15"/>
        <v>4</v>
      </c>
      <c r="AE3" s="41">
        <v>63.0</v>
      </c>
      <c r="AF3" s="12">
        <f t="shared" si="16"/>
        <v>8</v>
      </c>
      <c r="AG3" s="16">
        <f t="shared" si="17"/>
        <v>9.032620922</v>
      </c>
      <c r="AH3" s="12">
        <f t="shared" si="18"/>
        <v>4</v>
      </c>
      <c r="AI3" s="16">
        <f t="shared" si="19"/>
        <v>3.695163105</v>
      </c>
      <c r="AJ3" s="12">
        <f t="shared" si="20"/>
        <v>3</v>
      </c>
      <c r="AK3" s="16">
        <f t="shared" si="21"/>
        <v>48.03712036</v>
      </c>
      <c r="AL3" s="12">
        <f t="shared" si="22"/>
        <v>4</v>
      </c>
      <c r="AM3" s="16">
        <f t="shared" si="23"/>
        <v>36.95163105</v>
      </c>
      <c r="AN3" s="12">
        <f t="shared" si="24"/>
        <v>4</v>
      </c>
      <c r="AO3" s="16">
        <f t="shared" si="25"/>
        <v>2.863636364</v>
      </c>
      <c r="AP3" s="12">
        <f t="shared" si="26"/>
        <v>8</v>
      </c>
      <c r="AQ3" s="16">
        <f t="shared" si="27"/>
        <v>7</v>
      </c>
      <c r="AR3" s="12">
        <f t="shared" si="28"/>
        <v>4</v>
      </c>
      <c r="AS3" s="17">
        <f t="shared" si="29"/>
        <v>0.1923076923</v>
      </c>
      <c r="AT3" s="12">
        <f t="shared" si="30"/>
        <v>10</v>
      </c>
      <c r="AU3" s="16">
        <f t="shared" si="31"/>
        <v>0.5384615385</v>
      </c>
      <c r="AV3" s="12">
        <f t="shared" si="32"/>
        <v>8</v>
      </c>
      <c r="AW3" s="16">
        <f t="shared" si="33"/>
        <v>0.7</v>
      </c>
      <c r="AX3" s="12">
        <f t="shared" si="34"/>
        <v>9</v>
      </c>
      <c r="AY3" s="16">
        <f t="shared" si="35"/>
        <v>2.794871795</v>
      </c>
      <c r="AZ3" s="12">
        <f t="shared" si="36"/>
        <v>6</v>
      </c>
      <c r="BA3" s="18">
        <f t="shared" si="37"/>
        <v>0.8636363636</v>
      </c>
      <c r="BB3" s="12">
        <f t="shared" si="38"/>
        <v>10</v>
      </c>
      <c r="BC3" s="19">
        <f t="shared" si="39"/>
        <v>160</v>
      </c>
      <c r="BD3" s="19">
        <f t="shared" si="40"/>
        <v>6.4</v>
      </c>
      <c r="BE3" s="15">
        <f t="shared" si="41"/>
        <v>8</v>
      </c>
      <c r="BF3" s="8"/>
    </row>
    <row r="4">
      <c r="A4" s="66" t="s">
        <v>91</v>
      </c>
      <c r="B4" s="67" t="s">
        <v>92</v>
      </c>
      <c r="C4" s="64">
        <v>44871.0</v>
      </c>
      <c r="D4" s="11">
        <f t="shared" si="1"/>
        <v>3.334246575</v>
      </c>
      <c r="E4" s="12">
        <f t="shared" si="2"/>
        <v>8</v>
      </c>
      <c r="F4" s="46">
        <v>45315.0</v>
      </c>
      <c r="G4" s="14">
        <f t="shared" si="3"/>
        <v>2.117808219</v>
      </c>
      <c r="H4" s="12">
        <f t="shared" si="4"/>
        <v>10</v>
      </c>
      <c r="I4" s="41">
        <v>3.8</v>
      </c>
      <c r="J4" s="12">
        <f t="shared" si="5"/>
        <v>9</v>
      </c>
      <c r="K4" s="41">
        <v>21.0</v>
      </c>
      <c r="L4" s="12">
        <f t="shared" si="6"/>
        <v>10</v>
      </c>
      <c r="M4" s="41">
        <v>38.0</v>
      </c>
      <c r="N4" s="12">
        <f t="shared" si="7"/>
        <v>10</v>
      </c>
      <c r="O4" s="42">
        <v>40.0</v>
      </c>
      <c r="P4" s="12">
        <f t="shared" si="8"/>
        <v>8</v>
      </c>
      <c r="Q4" s="42">
        <v>14.0</v>
      </c>
      <c r="R4" s="12">
        <f t="shared" si="9"/>
        <v>9</v>
      </c>
      <c r="S4" s="42">
        <v>4.0</v>
      </c>
      <c r="T4" s="12">
        <f t="shared" si="10"/>
        <v>9</v>
      </c>
      <c r="U4" s="42">
        <v>6.0</v>
      </c>
      <c r="V4" s="12">
        <f t="shared" si="11"/>
        <v>7</v>
      </c>
      <c r="W4" s="41">
        <v>17.0</v>
      </c>
      <c r="X4" s="12">
        <f t="shared" si="12"/>
        <v>9</v>
      </c>
      <c r="Y4" s="41">
        <v>10.0</v>
      </c>
      <c r="Z4" s="12">
        <f t="shared" si="13"/>
        <v>8</v>
      </c>
      <c r="AA4" s="42">
        <v>19.0</v>
      </c>
      <c r="AB4" s="12">
        <f t="shared" si="14"/>
        <v>8</v>
      </c>
      <c r="AC4" s="42">
        <v>0.1</v>
      </c>
      <c r="AD4" s="12">
        <f t="shared" si="15"/>
        <v>9</v>
      </c>
      <c r="AE4" s="41">
        <v>63.0</v>
      </c>
      <c r="AF4" s="12">
        <f t="shared" si="16"/>
        <v>8</v>
      </c>
      <c r="AG4" s="16">
        <f t="shared" si="17"/>
        <v>5.098603122</v>
      </c>
      <c r="AH4" s="12">
        <f t="shared" si="18"/>
        <v>5</v>
      </c>
      <c r="AI4" s="16">
        <f t="shared" si="19"/>
        <v>0.02999178307</v>
      </c>
      <c r="AJ4" s="12">
        <f t="shared" si="20"/>
        <v>9</v>
      </c>
      <c r="AK4" s="16">
        <f t="shared" si="21"/>
        <v>6.298274445</v>
      </c>
      <c r="AL4" s="12">
        <f t="shared" si="22"/>
        <v>8</v>
      </c>
      <c r="AM4" s="16">
        <f t="shared" si="23"/>
        <v>11.99671323</v>
      </c>
      <c r="AN4" s="12">
        <f t="shared" si="24"/>
        <v>6</v>
      </c>
      <c r="AO4" s="16">
        <f t="shared" si="25"/>
        <v>3.705882353</v>
      </c>
      <c r="AP4" s="12">
        <f t="shared" si="26"/>
        <v>6</v>
      </c>
      <c r="AQ4" s="16">
        <f t="shared" si="27"/>
        <v>630</v>
      </c>
      <c r="AR4" s="12">
        <f t="shared" si="28"/>
        <v>1</v>
      </c>
      <c r="AS4" s="17">
        <f t="shared" si="29"/>
        <v>0.6666666667</v>
      </c>
      <c r="AT4" s="12">
        <f t="shared" si="30"/>
        <v>7</v>
      </c>
      <c r="AU4" s="16">
        <f t="shared" si="31"/>
        <v>3</v>
      </c>
      <c r="AV4" s="12">
        <f t="shared" si="32"/>
        <v>3</v>
      </c>
      <c r="AW4" s="16">
        <f t="shared" si="33"/>
        <v>1.575</v>
      </c>
      <c r="AX4" s="12">
        <f t="shared" si="34"/>
        <v>8</v>
      </c>
      <c r="AY4" s="16">
        <f t="shared" si="35"/>
        <v>1.80952381</v>
      </c>
      <c r="AZ4" s="12">
        <f t="shared" si="36"/>
        <v>9</v>
      </c>
      <c r="BA4" s="18">
        <f t="shared" si="37"/>
        <v>1.117647059</v>
      </c>
      <c r="BB4" s="12">
        <f t="shared" si="38"/>
        <v>1</v>
      </c>
      <c r="BC4" s="19">
        <f t="shared" si="39"/>
        <v>185</v>
      </c>
      <c r="BD4" s="19">
        <f t="shared" si="40"/>
        <v>7.4</v>
      </c>
      <c r="BE4" s="15">
        <f t="shared" si="41"/>
        <v>10</v>
      </c>
      <c r="BF4" s="8"/>
    </row>
    <row r="5">
      <c r="A5" s="43" t="s">
        <v>77</v>
      </c>
      <c r="B5" s="44" t="s">
        <v>78</v>
      </c>
      <c r="C5" s="45">
        <v>38660.0</v>
      </c>
      <c r="D5" s="11">
        <f t="shared" si="1"/>
        <v>20.35068493</v>
      </c>
      <c r="E5" s="12">
        <f t="shared" si="2"/>
        <v>1</v>
      </c>
      <c r="F5" s="46">
        <v>40496.0</v>
      </c>
      <c r="G5" s="14">
        <f t="shared" si="3"/>
        <v>15.32054795</v>
      </c>
      <c r="H5" s="12">
        <f t="shared" si="4"/>
        <v>3</v>
      </c>
      <c r="I5" s="47">
        <v>2.5</v>
      </c>
      <c r="J5" s="12">
        <f t="shared" si="5"/>
        <v>10</v>
      </c>
      <c r="K5" s="41">
        <v>60.0</v>
      </c>
      <c r="L5" s="12">
        <f t="shared" si="6"/>
        <v>9</v>
      </c>
      <c r="M5" s="41">
        <v>80.0</v>
      </c>
      <c r="N5" s="12">
        <f t="shared" si="7"/>
        <v>9</v>
      </c>
      <c r="O5" s="42">
        <v>10.0</v>
      </c>
      <c r="P5" s="12">
        <f t="shared" si="8"/>
        <v>9</v>
      </c>
      <c r="Q5" s="42">
        <v>18.0</v>
      </c>
      <c r="R5" s="12">
        <f t="shared" si="9"/>
        <v>6</v>
      </c>
      <c r="S5" s="42">
        <v>9.0</v>
      </c>
      <c r="T5" s="12">
        <f t="shared" si="10"/>
        <v>6</v>
      </c>
      <c r="U5" s="42">
        <v>3.0</v>
      </c>
      <c r="V5" s="12">
        <f t="shared" si="11"/>
        <v>8</v>
      </c>
      <c r="W5" s="41">
        <v>40.0</v>
      </c>
      <c r="X5" s="12">
        <f t="shared" si="12"/>
        <v>6</v>
      </c>
      <c r="Y5" s="41">
        <v>13.0</v>
      </c>
      <c r="Z5" s="12">
        <f t="shared" si="13"/>
        <v>7</v>
      </c>
      <c r="AA5" s="42">
        <v>40.0</v>
      </c>
      <c r="AB5" s="12">
        <f t="shared" si="14"/>
        <v>6</v>
      </c>
      <c r="AC5" s="42">
        <v>2.0</v>
      </c>
      <c r="AD5" s="12">
        <f t="shared" si="15"/>
        <v>6</v>
      </c>
      <c r="AE5" s="41">
        <v>200.0</v>
      </c>
      <c r="AF5" s="12">
        <f t="shared" si="16"/>
        <v>6</v>
      </c>
      <c r="AG5" s="16">
        <f t="shared" si="17"/>
        <v>1.96553581</v>
      </c>
      <c r="AH5" s="12">
        <f t="shared" si="18"/>
        <v>8</v>
      </c>
      <c r="AI5" s="16">
        <f t="shared" si="19"/>
        <v>0.09827679052</v>
      </c>
      <c r="AJ5" s="12">
        <f t="shared" si="20"/>
        <v>8</v>
      </c>
      <c r="AK5" s="16">
        <f t="shared" si="21"/>
        <v>2.948303716</v>
      </c>
      <c r="AL5" s="12">
        <f t="shared" si="22"/>
        <v>10</v>
      </c>
      <c r="AM5" s="16">
        <f t="shared" si="23"/>
        <v>0.4913839526</v>
      </c>
      <c r="AN5" s="12">
        <f t="shared" si="24"/>
        <v>9</v>
      </c>
      <c r="AO5" s="16">
        <f t="shared" si="25"/>
        <v>5</v>
      </c>
      <c r="AP5" s="12">
        <f t="shared" si="26"/>
        <v>4</v>
      </c>
      <c r="AQ5" s="16">
        <v>0.0</v>
      </c>
      <c r="AR5" s="12">
        <f t="shared" si="28"/>
        <v>7</v>
      </c>
      <c r="AS5" s="17">
        <f t="shared" si="29"/>
        <v>3</v>
      </c>
      <c r="AT5" s="12">
        <f t="shared" si="30"/>
        <v>2</v>
      </c>
      <c r="AU5" s="16">
        <f t="shared" si="31"/>
        <v>3.333333333</v>
      </c>
      <c r="AV5" s="12">
        <f t="shared" si="32"/>
        <v>2</v>
      </c>
      <c r="AW5" s="16">
        <f t="shared" si="33"/>
        <v>20</v>
      </c>
      <c r="AX5" s="12">
        <f t="shared" si="34"/>
        <v>3</v>
      </c>
      <c r="AY5" s="16">
        <f t="shared" si="35"/>
        <v>1.333333333</v>
      </c>
      <c r="AZ5" s="12">
        <f t="shared" si="36"/>
        <v>10</v>
      </c>
      <c r="BA5" s="18">
        <f t="shared" si="37"/>
        <v>1</v>
      </c>
      <c r="BB5" s="12">
        <f t="shared" si="38"/>
        <v>2</v>
      </c>
      <c r="BC5" s="19">
        <f t="shared" si="39"/>
        <v>157</v>
      </c>
      <c r="BD5" s="19">
        <f t="shared" si="40"/>
        <v>6.28</v>
      </c>
      <c r="BE5" s="15">
        <f t="shared" si="41"/>
        <v>7</v>
      </c>
      <c r="BF5" s="8"/>
    </row>
    <row r="6">
      <c r="A6" s="48" t="s">
        <v>87</v>
      </c>
      <c r="B6" s="49" t="s">
        <v>88</v>
      </c>
      <c r="C6" s="64">
        <v>38861.0</v>
      </c>
      <c r="D6" s="51">
        <f t="shared" si="1"/>
        <v>19.8</v>
      </c>
      <c r="E6" s="52">
        <f t="shared" si="2"/>
        <v>2</v>
      </c>
      <c r="F6" s="63">
        <v>39634.0</v>
      </c>
      <c r="G6" s="51">
        <f t="shared" si="3"/>
        <v>17.68219178</v>
      </c>
      <c r="H6" s="52">
        <f t="shared" si="4"/>
        <v>1</v>
      </c>
      <c r="I6" s="41">
        <v>7.0</v>
      </c>
      <c r="J6" s="52">
        <f t="shared" si="5"/>
        <v>6</v>
      </c>
      <c r="K6" s="41">
        <v>94.0</v>
      </c>
      <c r="L6" s="52">
        <f t="shared" si="6"/>
        <v>8</v>
      </c>
      <c r="M6" s="41">
        <v>1326.0</v>
      </c>
      <c r="N6" s="52">
        <f t="shared" si="7"/>
        <v>4</v>
      </c>
      <c r="O6" s="54">
        <v>8.0</v>
      </c>
      <c r="P6" s="52">
        <f t="shared" si="8"/>
        <v>10</v>
      </c>
      <c r="Q6" s="54">
        <v>25.0</v>
      </c>
      <c r="R6" s="52">
        <f t="shared" si="9"/>
        <v>2</v>
      </c>
      <c r="S6" s="54">
        <v>8.0</v>
      </c>
      <c r="T6" s="52">
        <f t="shared" si="10"/>
        <v>7</v>
      </c>
      <c r="U6" s="54">
        <v>1.0</v>
      </c>
      <c r="V6" s="52">
        <f t="shared" si="11"/>
        <v>9</v>
      </c>
      <c r="W6" s="41">
        <v>27.0</v>
      </c>
      <c r="X6" s="52">
        <f t="shared" si="12"/>
        <v>7</v>
      </c>
      <c r="Y6" s="41">
        <v>21.0</v>
      </c>
      <c r="Z6" s="52">
        <f t="shared" si="13"/>
        <v>6</v>
      </c>
      <c r="AA6" s="54">
        <v>27.0</v>
      </c>
      <c r="AB6" s="52">
        <f t="shared" si="14"/>
        <v>7</v>
      </c>
      <c r="AC6" s="54">
        <v>0.1</v>
      </c>
      <c r="AD6" s="52">
        <f t="shared" si="15"/>
        <v>9</v>
      </c>
      <c r="AE6" s="41">
        <v>216.0</v>
      </c>
      <c r="AF6" s="52">
        <f t="shared" si="16"/>
        <v>5</v>
      </c>
      <c r="AG6" s="55">
        <f t="shared" si="17"/>
        <v>1.363636364</v>
      </c>
      <c r="AH6" s="52">
        <f t="shared" si="18"/>
        <v>9</v>
      </c>
      <c r="AI6" s="55">
        <f t="shared" si="19"/>
        <v>0.005050505051</v>
      </c>
      <c r="AJ6" s="52">
        <f t="shared" si="20"/>
        <v>10</v>
      </c>
      <c r="AK6" s="55">
        <f t="shared" si="21"/>
        <v>4.747474747</v>
      </c>
      <c r="AL6" s="52">
        <f t="shared" si="22"/>
        <v>9</v>
      </c>
      <c r="AM6" s="55">
        <f t="shared" si="23"/>
        <v>0.404040404</v>
      </c>
      <c r="AN6" s="52">
        <f t="shared" si="24"/>
        <v>10</v>
      </c>
      <c r="AO6" s="55">
        <f t="shared" si="25"/>
        <v>8</v>
      </c>
      <c r="AP6" s="52">
        <f t="shared" si="26"/>
        <v>2</v>
      </c>
      <c r="AQ6" s="56">
        <v>0.0</v>
      </c>
      <c r="AR6" s="52">
        <f t="shared" si="28"/>
        <v>7</v>
      </c>
      <c r="AS6" s="57">
        <f t="shared" si="29"/>
        <v>8</v>
      </c>
      <c r="AT6" s="52">
        <f t="shared" si="30"/>
        <v>1</v>
      </c>
      <c r="AU6" s="55">
        <f t="shared" si="31"/>
        <v>2.29787234</v>
      </c>
      <c r="AV6" s="52">
        <f t="shared" si="32"/>
        <v>7</v>
      </c>
      <c r="AW6" s="55">
        <f t="shared" si="33"/>
        <v>27</v>
      </c>
      <c r="AX6" s="52">
        <f t="shared" si="34"/>
        <v>1</v>
      </c>
      <c r="AY6" s="55">
        <f t="shared" si="35"/>
        <v>14.10638298</v>
      </c>
      <c r="AZ6" s="52">
        <f t="shared" si="36"/>
        <v>3</v>
      </c>
      <c r="BA6" s="58">
        <f t="shared" si="37"/>
        <v>1</v>
      </c>
      <c r="BB6" s="52">
        <f t="shared" si="38"/>
        <v>2</v>
      </c>
      <c r="BC6" s="59">
        <f t="shared" si="39"/>
        <v>144</v>
      </c>
      <c r="BD6" s="59">
        <f t="shared" si="40"/>
        <v>5.76</v>
      </c>
      <c r="BE6" s="60">
        <f t="shared" si="41"/>
        <v>6</v>
      </c>
      <c r="BF6" s="61"/>
    </row>
    <row r="7">
      <c r="A7" s="43" t="s">
        <v>89</v>
      </c>
      <c r="B7" s="44" t="s">
        <v>90</v>
      </c>
      <c r="C7" s="45">
        <v>44358.0</v>
      </c>
      <c r="D7" s="11">
        <f t="shared" si="1"/>
        <v>4.739726027</v>
      </c>
      <c r="E7" s="12">
        <f t="shared" si="2"/>
        <v>7</v>
      </c>
      <c r="F7" s="65">
        <v>44538.0</v>
      </c>
      <c r="G7" s="14">
        <f t="shared" si="3"/>
        <v>4.246575342</v>
      </c>
      <c r="H7" s="12">
        <f t="shared" si="4"/>
        <v>8</v>
      </c>
      <c r="I7" s="41">
        <v>7.0</v>
      </c>
      <c r="J7" s="12">
        <f t="shared" si="5"/>
        <v>6</v>
      </c>
      <c r="K7" s="41">
        <v>619.0</v>
      </c>
      <c r="L7" s="12">
        <f t="shared" si="6"/>
        <v>2</v>
      </c>
      <c r="M7" s="41">
        <v>1931.0</v>
      </c>
      <c r="N7" s="12">
        <f t="shared" si="7"/>
        <v>3</v>
      </c>
      <c r="O7" s="42">
        <v>63.0</v>
      </c>
      <c r="P7" s="12">
        <f t="shared" si="8"/>
        <v>6</v>
      </c>
      <c r="Q7" s="42">
        <v>27.0</v>
      </c>
      <c r="R7" s="12">
        <f t="shared" si="9"/>
        <v>1</v>
      </c>
      <c r="S7" s="42">
        <v>32.0</v>
      </c>
      <c r="T7" s="12">
        <f t="shared" si="10"/>
        <v>3</v>
      </c>
      <c r="U7" s="42">
        <v>11.0</v>
      </c>
      <c r="V7" s="12">
        <f t="shared" si="11"/>
        <v>5</v>
      </c>
      <c r="W7" s="41">
        <v>44.0</v>
      </c>
      <c r="X7" s="12">
        <f t="shared" si="12"/>
        <v>5</v>
      </c>
      <c r="Y7" s="41">
        <v>33.0</v>
      </c>
      <c r="Z7" s="12">
        <f t="shared" si="13"/>
        <v>4</v>
      </c>
      <c r="AA7" s="42">
        <v>43.0</v>
      </c>
      <c r="AB7" s="12">
        <f t="shared" si="14"/>
        <v>5</v>
      </c>
      <c r="AC7" s="42">
        <v>4.0</v>
      </c>
      <c r="AD7" s="12">
        <f t="shared" si="15"/>
        <v>5</v>
      </c>
      <c r="AE7" s="41">
        <v>189.0</v>
      </c>
      <c r="AF7" s="12">
        <f t="shared" si="16"/>
        <v>7</v>
      </c>
      <c r="AG7" s="16">
        <f t="shared" si="17"/>
        <v>9.283236994</v>
      </c>
      <c r="AH7" s="12">
        <f t="shared" si="18"/>
        <v>3</v>
      </c>
      <c r="AI7" s="16">
        <f t="shared" si="19"/>
        <v>0.8439306358</v>
      </c>
      <c r="AJ7" s="12">
        <f t="shared" si="20"/>
        <v>4</v>
      </c>
      <c r="AK7" s="16">
        <f t="shared" si="21"/>
        <v>130.5982659</v>
      </c>
      <c r="AL7" s="12">
        <f t="shared" si="22"/>
        <v>2</v>
      </c>
      <c r="AM7" s="16">
        <f t="shared" si="23"/>
        <v>13.29190751</v>
      </c>
      <c r="AN7" s="12">
        <f t="shared" si="24"/>
        <v>5</v>
      </c>
      <c r="AO7" s="16">
        <f t="shared" si="25"/>
        <v>4.295454545</v>
      </c>
      <c r="AP7" s="12">
        <f t="shared" si="26"/>
        <v>5</v>
      </c>
      <c r="AQ7" s="16">
        <f>AE7/AC7</f>
        <v>47.25</v>
      </c>
      <c r="AR7" s="12">
        <f t="shared" si="28"/>
        <v>3</v>
      </c>
      <c r="AS7" s="17">
        <f t="shared" si="29"/>
        <v>2.909090909</v>
      </c>
      <c r="AT7" s="12">
        <f t="shared" si="30"/>
        <v>3</v>
      </c>
      <c r="AU7" s="16">
        <f t="shared" si="31"/>
        <v>0.3053311793</v>
      </c>
      <c r="AV7" s="12">
        <f t="shared" si="32"/>
        <v>9</v>
      </c>
      <c r="AW7" s="16">
        <f t="shared" si="33"/>
        <v>3</v>
      </c>
      <c r="AX7" s="12">
        <f t="shared" si="34"/>
        <v>6</v>
      </c>
      <c r="AY7" s="16">
        <f t="shared" si="35"/>
        <v>3.119547658</v>
      </c>
      <c r="AZ7" s="12">
        <f t="shared" si="36"/>
        <v>5</v>
      </c>
      <c r="BA7" s="18">
        <f t="shared" si="37"/>
        <v>0.9772727273</v>
      </c>
      <c r="BB7" s="12">
        <f t="shared" si="38"/>
        <v>6</v>
      </c>
      <c r="BC7" s="19">
        <f t="shared" si="39"/>
        <v>118</v>
      </c>
      <c r="BD7" s="19">
        <f t="shared" si="40"/>
        <v>4.72</v>
      </c>
      <c r="BE7" s="15">
        <f t="shared" si="41"/>
        <v>4</v>
      </c>
      <c r="BF7" s="8"/>
    </row>
    <row r="8">
      <c r="A8" s="48" t="s">
        <v>81</v>
      </c>
      <c r="B8" s="49" t="s">
        <v>82</v>
      </c>
      <c r="C8" s="50">
        <v>40701.0</v>
      </c>
      <c r="D8" s="51">
        <f t="shared" si="1"/>
        <v>14.75890411</v>
      </c>
      <c r="E8" s="52">
        <f t="shared" si="2"/>
        <v>4</v>
      </c>
      <c r="F8" s="53">
        <v>40872.0</v>
      </c>
      <c r="G8" s="51">
        <f t="shared" si="3"/>
        <v>14.29041096</v>
      </c>
      <c r="H8" s="52">
        <f t="shared" si="4"/>
        <v>4</v>
      </c>
      <c r="I8" s="41">
        <v>9.0</v>
      </c>
      <c r="J8" s="52">
        <f t="shared" si="5"/>
        <v>4</v>
      </c>
      <c r="K8" s="41">
        <v>171.0</v>
      </c>
      <c r="L8" s="52">
        <f t="shared" si="6"/>
        <v>5</v>
      </c>
      <c r="M8" s="41">
        <v>2570.0</v>
      </c>
      <c r="N8" s="52">
        <f t="shared" si="7"/>
        <v>2</v>
      </c>
      <c r="O8" s="54">
        <v>84.0</v>
      </c>
      <c r="P8" s="52">
        <f t="shared" si="8"/>
        <v>5</v>
      </c>
      <c r="Q8" s="54">
        <v>16.0</v>
      </c>
      <c r="R8" s="52">
        <f t="shared" si="9"/>
        <v>8</v>
      </c>
      <c r="S8" s="54">
        <v>22.0</v>
      </c>
      <c r="T8" s="52">
        <f t="shared" si="10"/>
        <v>4</v>
      </c>
      <c r="U8" s="54">
        <v>31.0</v>
      </c>
      <c r="V8" s="52">
        <f t="shared" si="11"/>
        <v>3</v>
      </c>
      <c r="W8" s="41">
        <v>56.0</v>
      </c>
      <c r="X8" s="52">
        <f t="shared" si="12"/>
        <v>4</v>
      </c>
      <c r="Y8" s="41">
        <v>33.0</v>
      </c>
      <c r="Z8" s="52">
        <f t="shared" si="13"/>
        <v>4</v>
      </c>
      <c r="AA8" s="54">
        <v>53.0</v>
      </c>
      <c r="AB8" s="52">
        <f t="shared" si="14"/>
        <v>4</v>
      </c>
      <c r="AC8" s="54">
        <v>11.0</v>
      </c>
      <c r="AD8" s="52">
        <f t="shared" si="15"/>
        <v>3</v>
      </c>
      <c r="AE8" s="41">
        <v>413.0</v>
      </c>
      <c r="AF8" s="52">
        <f t="shared" si="16"/>
        <v>4</v>
      </c>
      <c r="AG8" s="55">
        <f t="shared" si="17"/>
        <v>3.794319658</v>
      </c>
      <c r="AH8" s="52">
        <f t="shared" si="18"/>
        <v>7</v>
      </c>
      <c r="AI8" s="55">
        <f t="shared" si="19"/>
        <v>0.7453127901</v>
      </c>
      <c r="AJ8" s="52">
        <f t="shared" si="20"/>
        <v>5</v>
      </c>
      <c r="AK8" s="55">
        <f t="shared" si="21"/>
        <v>11.5862261</v>
      </c>
      <c r="AL8" s="52">
        <f t="shared" si="22"/>
        <v>6</v>
      </c>
      <c r="AM8" s="55">
        <f t="shared" si="23"/>
        <v>5.691479488</v>
      </c>
      <c r="AN8" s="52">
        <f t="shared" si="24"/>
        <v>7</v>
      </c>
      <c r="AO8" s="55">
        <f t="shared" si="25"/>
        <v>7.375</v>
      </c>
      <c r="AP8" s="52">
        <f t="shared" si="26"/>
        <v>3</v>
      </c>
      <c r="AQ8" s="56">
        <v>0.0</v>
      </c>
      <c r="AR8" s="52">
        <f t="shared" si="28"/>
        <v>7</v>
      </c>
      <c r="AS8" s="57">
        <f t="shared" si="29"/>
        <v>0.7096774194</v>
      </c>
      <c r="AT8" s="52">
        <f t="shared" si="30"/>
        <v>6</v>
      </c>
      <c r="AU8" s="55">
        <f t="shared" si="31"/>
        <v>2.415204678</v>
      </c>
      <c r="AV8" s="52">
        <f t="shared" si="32"/>
        <v>6</v>
      </c>
      <c r="AW8" s="55">
        <f t="shared" si="33"/>
        <v>4.916666667</v>
      </c>
      <c r="AX8" s="52">
        <f t="shared" si="34"/>
        <v>4</v>
      </c>
      <c r="AY8" s="55">
        <f t="shared" si="35"/>
        <v>15.02923977</v>
      </c>
      <c r="AZ8" s="52">
        <f t="shared" si="36"/>
        <v>2</v>
      </c>
      <c r="BA8" s="58">
        <f t="shared" si="37"/>
        <v>0.9464285714</v>
      </c>
      <c r="BB8" s="52">
        <f t="shared" si="38"/>
        <v>8</v>
      </c>
      <c r="BC8" s="59">
        <f t="shared" si="39"/>
        <v>119</v>
      </c>
      <c r="BD8" s="59">
        <f t="shared" si="40"/>
        <v>4.76</v>
      </c>
      <c r="BE8" s="60">
        <f t="shared" si="41"/>
        <v>5</v>
      </c>
      <c r="BF8" s="61"/>
    </row>
    <row r="9">
      <c r="A9" s="43" t="s">
        <v>85</v>
      </c>
      <c r="B9" s="44" t="s">
        <v>86</v>
      </c>
      <c r="C9" s="45">
        <v>40145.0</v>
      </c>
      <c r="D9" s="11">
        <f t="shared" si="1"/>
        <v>16.28219178</v>
      </c>
      <c r="E9" s="12">
        <f t="shared" si="2"/>
        <v>3</v>
      </c>
      <c r="F9" s="46">
        <v>40161.0</v>
      </c>
      <c r="G9" s="14">
        <f t="shared" si="3"/>
        <v>16.23835616</v>
      </c>
      <c r="H9" s="12">
        <f t="shared" si="4"/>
        <v>2</v>
      </c>
      <c r="I9" s="41">
        <v>23.0</v>
      </c>
      <c r="J9" s="12">
        <f t="shared" si="5"/>
        <v>2</v>
      </c>
      <c r="K9" s="41">
        <v>110.0</v>
      </c>
      <c r="L9" s="12">
        <f t="shared" si="6"/>
        <v>7</v>
      </c>
      <c r="M9" s="41">
        <v>288.0</v>
      </c>
      <c r="N9" s="12">
        <f t="shared" si="7"/>
        <v>8</v>
      </c>
      <c r="O9" s="42">
        <v>45.0</v>
      </c>
      <c r="P9" s="12">
        <f t="shared" si="8"/>
        <v>7</v>
      </c>
      <c r="Q9" s="42">
        <v>25.0</v>
      </c>
      <c r="R9" s="12">
        <f t="shared" si="9"/>
        <v>2</v>
      </c>
      <c r="S9" s="42">
        <v>15.0</v>
      </c>
      <c r="T9" s="12">
        <f t="shared" si="10"/>
        <v>5</v>
      </c>
      <c r="U9" s="42">
        <v>10.0</v>
      </c>
      <c r="V9" s="12">
        <f t="shared" si="11"/>
        <v>6</v>
      </c>
      <c r="W9" s="41">
        <v>75.0</v>
      </c>
      <c r="X9" s="12">
        <f t="shared" si="12"/>
        <v>3</v>
      </c>
      <c r="Y9" s="41">
        <v>63.0</v>
      </c>
      <c r="Z9" s="12">
        <f t="shared" si="13"/>
        <v>3</v>
      </c>
      <c r="AA9" s="42">
        <v>72.0</v>
      </c>
      <c r="AB9" s="12">
        <f t="shared" si="14"/>
        <v>3</v>
      </c>
      <c r="AC9" s="42">
        <v>2.0</v>
      </c>
      <c r="AD9" s="12">
        <f t="shared" si="15"/>
        <v>6</v>
      </c>
      <c r="AE9" s="41">
        <v>946.0</v>
      </c>
      <c r="AF9" s="12">
        <f t="shared" si="16"/>
        <v>2</v>
      </c>
      <c r="AG9" s="16">
        <f t="shared" si="17"/>
        <v>4.606259465</v>
      </c>
      <c r="AH9" s="12">
        <f t="shared" si="18"/>
        <v>6</v>
      </c>
      <c r="AI9" s="16">
        <f t="shared" si="19"/>
        <v>0.1228335857</v>
      </c>
      <c r="AJ9" s="12">
        <f t="shared" si="20"/>
        <v>7</v>
      </c>
      <c r="AK9" s="16">
        <f t="shared" si="21"/>
        <v>6.755847215</v>
      </c>
      <c r="AL9" s="12">
        <f t="shared" si="22"/>
        <v>7</v>
      </c>
      <c r="AM9" s="16">
        <f t="shared" si="23"/>
        <v>2.763755679</v>
      </c>
      <c r="AN9" s="12">
        <f t="shared" si="24"/>
        <v>8</v>
      </c>
      <c r="AO9" s="16">
        <f t="shared" si="25"/>
        <v>12.61333333</v>
      </c>
      <c r="AP9" s="12">
        <f t="shared" si="26"/>
        <v>1</v>
      </c>
      <c r="AQ9" s="16">
        <f>AE9/AC9</f>
        <v>473</v>
      </c>
      <c r="AR9" s="12">
        <f t="shared" si="28"/>
        <v>2</v>
      </c>
      <c r="AS9" s="17">
        <f t="shared" si="29"/>
        <v>1.5</v>
      </c>
      <c r="AT9" s="12">
        <f t="shared" si="30"/>
        <v>5</v>
      </c>
      <c r="AU9" s="16">
        <f t="shared" si="31"/>
        <v>8.6</v>
      </c>
      <c r="AV9" s="12">
        <f t="shared" si="32"/>
        <v>1</v>
      </c>
      <c r="AW9" s="16">
        <f t="shared" si="33"/>
        <v>21.02222222</v>
      </c>
      <c r="AX9" s="12">
        <f t="shared" si="34"/>
        <v>2</v>
      </c>
      <c r="AY9" s="16">
        <f t="shared" si="35"/>
        <v>2.618181818</v>
      </c>
      <c r="AZ9" s="12">
        <f t="shared" si="36"/>
        <v>7</v>
      </c>
      <c r="BA9" s="18">
        <f t="shared" si="37"/>
        <v>0.96</v>
      </c>
      <c r="BB9" s="12">
        <f t="shared" si="38"/>
        <v>7</v>
      </c>
      <c r="BC9" s="19">
        <f t="shared" si="39"/>
        <v>112</v>
      </c>
      <c r="BD9" s="19">
        <f t="shared" si="40"/>
        <v>4.48</v>
      </c>
      <c r="BE9" s="15">
        <f t="shared" si="41"/>
        <v>3</v>
      </c>
      <c r="BF9" s="8"/>
    </row>
    <row r="10">
      <c r="A10" s="48" t="s">
        <v>83</v>
      </c>
      <c r="B10" s="49" t="s">
        <v>84</v>
      </c>
      <c r="C10" s="62">
        <v>41205.0</v>
      </c>
      <c r="D10" s="51">
        <f t="shared" si="1"/>
        <v>13.37808219</v>
      </c>
      <c r="E10" s="52">
        <f t="shared" si="2"/>
        <v>5</v>
      </c>
      <c r="F10" s="63">
        <v>41331.0</v>
      </c>
      <c r="G10" s="51">
        <f t="shared" si="3"/>
        <v>13.03287671</v>
      </c>
      <c r="H10" s="52">
        <f t="shared" si="4"/>
        <v>5</v>
      </c>
      <c r="I10" s="41">
        <v>7.0</v>
      </c>
      <c r="J10" s="52">
        <f t="shared" si="5"/>
        <v>6</v>
      </c>
      <c r="K10" s="41">
        <v>324.0</v>
      </c>
      <c r="L10" s="52">
        <f t="shared" si="6"/>
        <v>4</v>
      </c>
      <c r="M10" s="41">
        <v>1287.0</v>
      </c>
      <c r="N10" s="52">
        <f t="shared" si="7"/>
        <v>5</v>
      </c>
      <c r="O10" s="54">
        <v>560.0</v>
      </c>
      <c r="P10" s="52">
        <f t="shared" si="8"/>
        <v>1</v>
      </c>
      <c r="Q10" s="54">
        <v>25.0</v>
      </c>
      <c r="R10" s="52">
        <f t="shared" si="9"/>
        <v>2</v>
      </c>
      <c r="S10" s="54">
        <v>43.0</v>
      </c>
      <c r="T10" s="52">
        <f t="shared" si="10"/>
        <v>1</v>
      </c>
      <c r="U10" s="54">
        <v>73.0</v>
      </c>
      <c r="V10" s="52">
        <f t="shared" si="11"/>
        <v>2</v>
      </c>
      <c r="W10" s="41">
        <v>276.0</v>
      </c>
      <c r="X10" s="52">
        <f t="shared" si="12"/>
        <v>2</v>
      </c>
      <c r="Y10" s="41">
        <v>163.0</v>
      </c>
      <c r="Z10" s="52">
        <f t="shared" si="13"/>
        <v>2</v>
      </c>
      <c r="AA10" s="54">
        <v>261.0</v>
      </c>
      <c r="AB10" s="52">
        <f t="shared" si="14"/>
        <v>2</v>
      </c>
      <c r="AC10" s="54">
        <v>143.0</v>
      </c>
      <c r="AD10" s="52">
        <f t="shared" si="15"/>
        <v>2</v>
      </c>
      <c r="AE10" s="41">
        <v>922.0</v>
      </c>
      <c r="AF10" s="52">
        <f t="shared" si="16"/>
        <v>3</v>
      </c>
      <c r="AG10" s="55">
        <f t="shared" si="17"/>
        <v>20.63075978</v>
      </c>
      <c r="AH10" s="52">
        <f t="shared" si="18"/>
        <v>2</v>
      </c>
      <c r="AI10" s="55">
        <f t="shared" si="19"/>
        <v>10.68912554</v>
      </c>
      <c r="AJ10" s="52">
        <f t="shared" si="20"/>
        <v>2</v>
      </c>
      <c r="AK10" s="55">
        <f t="shared" si="21"/>
        <v>24.218718</v>
      </c>
      <c r="AL10" s="52">
        <f t="shared" si="22"/>
        <v>5</v>
      </c>
      <c r="AM10" s="55">
        <f t="shared" si="23"/>
        <v>41.85951259</v>
      </c>
      <c r="AN10" s="52">
        <f t="shared" si="24"/>
        <v>3</v>
      </c>
      <c r="AO10" s="55">
        <f t="shared" si="25"/>
        <v>3.34057971</v>
      </c>
      <c r="AP10" s="52">
        <f t="shared" si="26"/>
        <v>7</v>
      </c>
      <c r="AQ10" s="56">
        <v>0.0</v>
      </c>
      <c r="AR10" s="52">
        <f t="shared" si="28"/>
        <v>7</v>
      </c>
      <c r="AS10" s="57">
        <f t="shared" si="29"/>
        <v>0.5890410959</v>
      </c>
      <c r="AT10" s="52">
        <f t="shared" si="30"/>
        <v>8</v>
      </c>
      <c r="AU10" s="55">
        <f t="shared" si="31"/>
        <v>2.845679012</v>
      </c>
      <c r="AV10" s="52">
        <f t="shared" si="32"/>
        <v>4</v>
      </c>
      <c r="AW10" s="55">
        <f t="shared" si="33"/>
        <v>1.646428571</v>
      </c>
      <c r="AX10" s="52">
        <f t="shared" si="34"/>
        <v>7</v>
      </c>
      <c r="AY10" s="55">
        <f t="shared" si="35"/>
        <v>3.972222222</v>
      </c>
      <c r="AZ10" s="52">
        <f t="shared" si="36"/>
        <v>4</v>
      </c>
      <c r="BA10" s="58">
        <f t="shared" si="37"/>
        <v>0.9456521739</v>
      </c>
      <c r="BB10" s="52">
        <f t="shared" si="38"/>
        <v>9</v>
      </c>
      <c r="BC10" s="59">
        <f t="shared" si="39"/>
        <v>100</v>
      </c>
      <c r="BD10" s="59">
        <f t="shared" si="40"/>
        <v>4</v>
      </c>
      <c r="BE10" s="60">
        <f t="shared" si="41"/>
        <v>2</v>
      </c>
      <c r="BF10" s="61"/>
    </row>
    <row r="11">
      <c r="A11" s="43" t="s">
        <v>79</v>
      </c>
      <c r="B11" s="44" t="s">
        <v>80</v>
      </c>
      <c r="C11" s="45">
        <v>44258.0</v>
      </c>
      <c r="D11" s="11">
        <f t="shared" si="1"/>
        <v>5.01369863</v>
      </c>
      <c r="E11" s="12">
        <f t="shared" si="2"/>
        <v>6</v>
      </c>
      <c r="F11" s="46">
        <v>41422.0</v>
      </c>
      <c r="G11" s="14">
        <f t="shared" si="3"/>
        <v>12.78356164</v>
      </c>
      <c r="H11" s="12">
        <f t="shared" si="4"/>
        <v>6</v>
      </c>
      <c r="I11" s="41">
        <v>25.0</v>
      </c>
      <c r="J11" s="12">
        <f t="shared" si="5"/>
        <v>1</v>
      </c>
      <c r="K11" s="41">
        <v>472.0</v>
      </c>
      <c r="L11" s="12">
        <f t="shared" si="6"/>
        <v>3</v>
      </c>
      <c r="M11" s="41">
        <v>1107.0</v>
      </c>
      <c r="N11" s="12">
        <f t="shared" si="7"/>
        <v>6</v>
      </c>
      <c r="O11" s="42">
        <v>277.0</v>
      </c>
      <c r="P11" s="12">
        <f t="shared" si="8"/>
        <v>2</v>
      </c>
      <c r="Q11" s="42">
        <v>17.0</v>
      </c>
      <c r="R11" s="12">
        <f t="shared" si="9"/>
        <v>7</v>
      </c>
      <c r="S11" s="42">
        <v>42.0</v>
      </c>
      <c r="T11" s="12">
        <f t="shared" si="10"/>
        <v>2</v>
      </c>
      <c r="U11" s="42">
        <v>74.0</v>
      </c>
      <c r="V11" s="12">
        <f t="shared" si="11"/>
        <v>1</v>
      </c>
      <c r="W11" s="41">
        <v>640.0</v>
      </c>
      <c r="X11" s="12">
        <f t="shared" si="12"/>
        <v>1</v>
      </c>
      <c r="Y11" s="41">
        <v>254.0</v>
      </c>
      <c r="Z11" s="12">
        <f t="shared" si="13"/>
        <v>1</v>
      </c>
      <c r="AA11" s="42">
        <v>630.0</v>
      </c>
      <c r="AB11" s="12">
        <f t="shared" si="14"/>
        <v>1</v>
      </c>
      <c r="AC11" s="42">
        <v>477.0</v>
      </c>
      <c r="AD11" s="12">
        <f t="shared" si="15"/>
        <v>1</v>
      </c>
      <c r="AE11" s="41">
        <v>1316.0</v>
      </c>
      <c r="AF11" s="12">
        <f t="shared" si="16"/>
        <v>1</v>
      </c>
      <c r="AG11" s="16">
        <f t="shared" si="17"/>
        <v>127.6502732</v>
      </c>
      <c r="AH11" s="12">
        <f t="shared" si="18"/>
        <v>1</v>
      </c>
      <c r="AI11" s="16">
        <f t="shared" si="19"/>
        <v>95.13934426</v>
      </c>
      <c r="AJ11" s="12">
        <f t="shared" si="20"/>
        <v>1</v>
      </c>
      <c r="AK11" s="16">
        <f t="shared" si="21"/>
        <v>94.1420765</v>
      </c>
      <c r="AL11" s="12">
        <f t="shared" si="22"/>
        <v>3</v>
      </c>
      <c r="AM11" s="16">
        <f t="shared" si="23"/>
        <v>55.24863388</v>
      </c>
      <c r="AN11" s="12">
        <f t="shared" si="24"/>
        <v>1</v>
      </c>
      <c r="AO11" s="16">
        <f t="shared" si="25"/>
        <v>2.05625</v>
      </c>
      <c r="AP11" s="12">
        <f t="shared" si="26"/>
        <v>9</v>
      </c>
      <c r="AQ11" s="16">
        <f>AE11/AC11</f>
        <v>2.758909853</v>
      </c>
      <c r="AR11" s="12">
        <f t="shared" si="28"/>
        <v>6</v>
      </c>
      <c r="AS11" s="17">
        <f t="shared" si="29"/>
        <v>0.5675675676</v>
      </c>
      <c r="AT11" s="12">
        <f t="shared" si="30"/>
        <v>9</v>
      </c>
      <c r="AU11" s="16">
        <f t="shared" si="31"/>
        <v>2.788135593</v>
      </c>
      <c r="AV11" s="12">
        <f t="shared" si="32"/>
        <v>5</v>
      </c>
      <c r="AW11" s="16">
        <f t="shared" si="33"/>
        <v>4.750902527</v>
      </c>
      <c r="AX11" s="12">
        <f t="shared" si="34"/>
        <v>5</v>
      </c>
      <c r="AY11" s="16">
        <f t="shared" si="35"/>
        <v>2.345338983</v>
      </c>
      <c r="AZ11" s="12">
        <f t="shared" si="36"/>
        <v>8</v>
      </c>
      <c r="BA11" s="18">
        <f t="shared" si="37"/>
        <v>0.984375</v>
      </c>
      <c r="BB11" s="12">
        <f t="shared" si="38"/>
        <v>5</v>
      </c>
      <c r="BC11" s="19">
        <f t="shared" si="39"/>
        <v>92</v>
      </c>
      <c r="BD11" s="19">
        <f t="shared" si="40"/>
        <v>3.68</v>
      </c>
      <c r="BE11" s="15">
        <f t="shared" si="41"/>
        <v>1</v>
      </c>
      <c r="BF11" s="8"/>
    </row>
    <row r="12">
      <c r="A12" s="28" t="s">
        <v>43</v>
      </c>
      <c r="B12" s="8"/>
      <c r="C12" s="8"/>
      <c r="D12" s="29">
        <f>AVERAGE(D2:D11)</f>
        <v>10.32328767</v>
      </c>
      <c r="E12" s="30"/>
      <c r="F12" s="8"/>
      <c r="G12" s="29">
        <f>AVERAGE(G2:G11)</f>
        <v>10.84246575</v>
      </c>
      <c r="H12" s="8"/>
      <c r="I12" s="29">
        <f>AVERAGE(I2:I11)</f>
        <v>11.33</v>
      </c>
      <c r="J12" s="8"/>
      <c r="K12" s="29">
        <f>AVERAGE(K2:K11)</f>
        <v>302</v>
      </c>
      <c r="L12" s="8"/>
      <c r="M12" s="29">
        <f>AVERAGE(M2:M11)</f>
        <v>5497.4</v>
      </c>
      <c r="N12" s="8"/>
      <c r="O12" s="29">
        <f>AVERAGE(O2:O11)</f>
        <v>131.3</v>
      </c>
      <c r="P12" s="8"/>
      <c r="Q12" s="29">
        <f>AVERAGE(Q2:Q11)</f>
        <v>20.6</v>
      </c>
      <c r="R12" s="8"/>
      <c r="S12" s="29">
        <f>AVERAGE(S2:S11)</f>
        <v>18.2</v>
      </c>
      <c r="T12" s="8"/>
      <c r="U12" s="29">
        <f>AVERAGE(U2:U11)</f>
        <v>23.6</v>
      </c>
      <c r="V12" s="8"/>
      <c r="W12" s="29">
        <f>AVERAGE(W2:W11)</f>
        <v>120.1</v>
      </c>
      <c r="X12" s="8"/>
      <c r="Y12" s="29">
        <f>AVERAGE(Y2:Y11)</f>
        <v>59.8</v>
      </c>
      <c r="Z12" s="8"/>
      <c r="AA12" s="29">
        <f>AVERAGE(AA2:AA11)</f>
        <v>116.8</v>
      </c>
      <c r="AB12" s="8"/>
      <c r="AC12" s="29">
        <f>AVERAGE(AC2:AC11)</f>
        <v>64.92</v>
      </c>
      <c r="AD12" s="8"/>
      <c r="AE12" s="29">
        <f>AVERAGE(AE2:AE11)</f>
        <v>433.3</v>
      </c>
      <c r="AF12" s="8"/>
      <c r="AG12" s="29">
        <f>AVERAGE(AG2:AG11)</f>
        <v>18.46992418</v>
      </c>
      <c r="AH12" s="8"/>
      <c r="AI12" s="29">
        <f>AVERAGE(AI2:AI11)</f>
        <v>11.16875281</v>
      </c>
      <c r="AJ12" s="8"/>
      <c r="AK12" s="29">
        <f>AVERAGE(AK2:AK11)</f>
        <v>65.80234065</v>
      </c>
      <c r="AL12" s="8"/>
      <c r="AM12" s="29">
        <f>AVERAGE(AM2:AM11)</f>
        <v>21.20149391</v>
      </c>
      <c r="AN12" s="8"/>
      <c r="AO12" s="29">
        <f>AVERAGE(AO2:AO11)</f>
        <v>5.050013631</v>
      </c>
      <c r="AP12" s="8"/>
      <c r="AQ12" s="29">
        <f>AVERAGE(AQ2:AQ11)</f>
        <v>116.500891</v>
      </c>
      <c r="AR12" s="8"/>
      <c r="AS12" s="29">
        <f>AVERAGE(AS2:AS11)</f>
        <v>2.013435135</v>
      </c>
      <c r="AT12" s="8"/>
      <c r="AU12" s="29">
        <f>AVERAGE(AU2:AU11)</f>
        <v>2.612886264</v>
      </c>
      <c r="AV12" s="8"/>
      <c r="AW12" s="29">
        <f>AVERAGE(AW2:AW11)</f>
        <v>8.464798469</v>
      </c>
      <c r="AX12" s="8"/>
      <c r="AY12" s="29">
        <f>AVERAGE(AY2:AY11)</f>
        <v>9.172166562</v>
      </c>
      <c r="AZ12" s="8"/>
      <c r="BA12" s="29">
        <f>AVERAGE(BA2:BA11)</f>
        <v>0.9795011895</v>
      </c>
      <c r="BB12" s="8"/>
      <c r="BC12" s="29">
        <f>AVERAGE(BC2:BC11)</f>
        <v>135</v>
      </c>
      <c r="BD12" s="8"/>
      <c r="BE12" s="8"/>
      <c r="BF12" s="8"/>
    </row>
    <row r="13">
      <c r="A13" s="31" t="s">
        <v>44</v>
      </c>
      <c r="B13" s="8"/>
      <c r="C13" s="8"/>
      <c r="D13" s="32">
        <f>MEDIAN(D2:D11)</f>
        <v>9.195890411</v>
      </c>
      <c r="E13" s="30"/>
      <c r="F13" s="8"/>
      <c r="G13" s="32">
        <f>MEDIAN(G2:G11)</f>
        <v>12.90821918</v>
      </c>
      <c r="H13" s="8"/>
      <c r="I13" s="32">
        <f>MEDIAN(I2:I11)</f>
        <v>7.5</v>
      </c>
      <c r="J13" s="8"/>
      <c r="K13" s="32">
        <f>MEDIAN(K2:K11)</f>
        <v>144</v>
      </c>
      <c r="L13" s="8"/>
      <c r="M13" s="32">
        <f>MEDIAN(M2:M11)</f>
        <v>1197</v>
      </c>
      <c r="N13" s="8"/>
      <c r="O13" s="32">
        <f>MEDIAN(O2:O11)</f>
        <v>73.5</v>
      </c>
      <c r="P13" s="8"/>
      <c r="Q13" s="32">
        <f>MEDIAN(Q2:Q11)</f>
        <v>21.5</v>
      </c>
      <c r="R13" s="8"/>
      <c r="S13" s="32">
        <f>MEDIAN(S2:S11)</f>
        <v>12</v>
      </c>
      <c r="T13" s="8"/>
      <c r="U13" s="32">
        <f>MEDIAN(U2:U11)</f>
        <v>10.5</v>
      </c>
      <c r="V13" s="8"/>
      <c r="W13" s="32">
        <f>MEDIAN(W2:W11)</f>
        <v>42</v>
      </c>
      <c r="X13" s="8"/>
      <c r="Y13" s="32">
        <f>MEDIAN(Y2:Y11)</f>
        <v>27</v>
      </c>
      <c r="Z13" s="8"/>
      <c r="AA13" s="32">
        <f>MEDIAN(AA2:AA11)</f>
        <v>41.5</v>
      </c>
      <c r="AB13" s="8"/>
      <c r="AC13" s="32">
        <f>MEDIAN(AC2:AC11)</f>
        <v>3</v>
      </c>
      <c r="AD13" s="8"/>
      <c r="AE13" s="32">
        <f>MEDIAN(AE2:AE11)</f>
        <v>208</v>
      </c>
      <c r="AF13" s="8"/>
      <c r="AG13" s="32">
        <f>MEDIAN(AG2:AG11)</f>
        <v>4.852431294</v>
      </c>
      <c r="AH13" s="8"/>
      <c r="AI13" s="32">
        <f>MEDIAN(AI2:AI11)</f>
        <v>0.5319059587</v>
      </c>
      <c r="AJ13" s="8"/>
      <c r="AK13" s="32">
        <f>MEDIAN(AK2:AK11)</f>
        <v>17.90247205</v>
      </c>
      <c r="AL13" s="8"/>
      <c r="AM13" s="32">
        <f>MEDIAN(AM2:AM11)</f>
        <v>12.64431037</v>
      </c>
      <c r="AN13" s="8"/>
      <c r="AO13" s="32">
        <f>MEDIAN(AO2:AO11)</f>
        <v>4.000668449</v>
      </c>
      <c r="AP13" s="8"/>
      <c r="AQ13" s="32">
        <f>MEDIAN(AQ2:AQ11)</f>
        <v>3.879454927</v>
      </c>
      <c r="AR13" s="8"/>
      <c r="AS13" s="32">
        <f>MEDIAN(AS2:AS11)</f>
        <v>1.10483871</v>
      </c>
      <c r="AT13" s="8"/>
      <c r="AU13" s="32">
        <f>MEDIAN(AU2:AU11)</f>
        <v>2.601670136</v>
      </c>
      <c r="AV13" s="8"/>
      <c r="AW13" s="32">
        <f>MEDIAN(AW2:AW11)</f>
        <v>3.875451264</v>
      </c>
      <c r="AX13" s="8"/>
      <c r="AY13" s="32">
        <f>MEDIAN(AY2:AY11)</f>
        <v>2.957209726</v>
      </c>
      <c r="AZ13" s="8"/>
      <c r="BA13" s="32">
        <f>MEDIAN(BA2:BA11)</f>
        <v>0.9808238636</v>
      </c>
      <c r="BB13" s="8"/>
      <c r="BC13" s="32">
        <f>MEDIAN(BC2:BC11)</f>
        <v>131.5</v>
      </c>
      <c r="BD13" s="8"/>
      <c r="BE13" s="8"/>
      <c r="BF13" s="8"/>
    </row>
    <row r="14">
      <c r="A14" s="28" t="s">
        <v>45</v>
      </c>
      <c r="B14" s="8"/>
      <c r="C14" s="8"/>
      <c r="D14" s="29">
        <f>MAX(D2:D11)</f>
        <v>20.35068493</v>
      </c>
      <c r="E14" s="30"/>
      <c r="F14" s="8"/>
      <c r="G14" s="29">
        <f>MAX(G2:G11)</f>
        <v>17.68219178</v>
      </c>
      <c r="H14" s="8"/>
      <c r="I14" s="29">
        <f>MAX(I2:I11)</f>
        <v>25</v>
      </c>
      <c r="J14" s="8"/>
      <c r="K14" s="29">
        <f>MAX(K2:K11)</f>
        <v>1032</v>
      </c>
      <c r="L14" s="8"/>
      <c r="M14" s="29">
        <f>MAX(M2:M11)</f>
        <v>46020</v>
      </c>
      <c r="N14" s="8"/>
      <c r="O14" s="29">
        <f>MAX(O2:O11)</f>
        <v>560</v>
      </c>
      <c r="P14" s="8"/>
      <c r="Q14" s="29">
        <f>MAX(Q2:Q11)</f>
        <v>27</v>
      </c>
      <c r="R14" s="8"/>
      <c r="S14" s="29">
        <f>MAX(S2:S11)</f>
        <v>43</v>
      </c>
      <c r="T14" s="8"/>
      <c r="U14" s="29">
        <f>MAX(U2:U11)</f>
        <v>74</v>
      </c>
      <c r="V14" s="8"/>
      <c r="W14" s="29">
        <f>MAX(W2:W11)</f>
        <v>640</v>
      </c>
      <c r="X14" s="8"/>
      <c r="Y14" s="29">
        <f>MAX(Y2:Y11)</f>
        <v>254</v>
      </c>
      <c r="Z14" s="8"/>
      <c r="AA14" s="29">
        <f>MAX(AA2:AA11)</f>
        <v>630</v>
      </c>
      <c r="AB14" s="8"/>
      <c r="AC14" s="29">
        <f>MAX(AC2:AC11)</f>
        <v>477</v>
      </c>
      <c r="AD14" s="8"/>
      <c r="AE14" s="29">
        <f>MAX(AE2:AE11)</f>
        <v>1316</v>
      </c>
      <c r="AF14" s="8"/>
      <c r="AG14" s="29">
        <f>MAX(AG2:AG11)</f>
        <v>127.6502732</v>
      </c>
      <c r="AH14" s="8"/>
      <c r="AI14" s="29">
        <f>MAX(AI2:AI11)</f>
        <v>95.13934426</v>
      </c>
      <c r="AJ14" s="8"/>
      <c r="AK14" s="29">
        <f>MAX(AK2:AK11)</f>
        <v>328.6910995</v>
      </c>
      <c r="AL14" s="8"/>
      <c r="AM14" s="29">
        <f>MAX(AM2:AM11)</f>
        <v>55.24863388</v>
      </c>
      <c r="AN14" s="8"/>
      <c r="AO14" s="29">
        <f>MAX(AO2:AO11)</f>
        <v>12.61333333</v>
      </c>
      <c r="AP14" s="8"/>
      <c r="AQ14" s="29">
        <f>MAX(AQ2:AQ11)</f>
        <v>630</v>
      </c>
      <c r="AR14" s="8"/>
      <c r="AS14" s="29">
        <f>MAX(AS2:AS11)</f>
        <v>8</v>
      </c>
      <c r="AT14" s="8"/>
      <c r="AU14" s="29">
        <f>MAX(AU2:AU11)</f>
        <v>8.6</v>
      </c>
      <c r="AV14" s="8"/>
      <c r="AW14" s="29">
        <f>MAX(AW2:AW11)</f>
        <v>27</v>
      </c>
      <c r="AX14" s="8"/>
      <c r="AY14" s="29">
        <f>MAX(AY2:AY11)</f>
        <v>44.59302326</v>
      </c>
      <c r="AZ14" s="8"/>
      <c r="BA14" s="29">
        <f>MAX(BA2:BA11)</f>
        <v>1.117647059</v>
      </c>
      <c r="BB14" s="8"/>
      <c r="BC14" s="29">
        <f>MAX(BC2:BC11)</f>
        <v>185</v>
      </c>
      <c r="BD14" s="8"/>
      <c r="BE14" s="8"/>
      <c r="BF14" s="8"/>
    </row>
    <row r="15">
      <c r="A15" s="28" t="s">
        <v>46</v>
      </c>
      <c r="B15" s="8"/>
      <c r="C15" s="8"/>
      <c r="D15" s="29">
        <f>MIN(D2:D11)</f>
        <v>2.435616438</v>
      </c>
      <c r="E15" s="30"/>
      <c r="F15" s="8"/>
      <c r="G15" s="29">
        <f>MIN(G2:G11)</f>
        <v>2.117808219</v>
      </c>
      <c r="H15" s="8"/>
      <c r="I15" s="29">
        <f>MIN(I2:I11)</f>
        <v>2.5</v>
      </c>
      <c r="J15" s="8"/>
      <c r="K15" s="29">
        <f>MIN(K2:K11)</f>
        <v>21</v>
      </c>
      <c r="L15" s="8"/>
      <c r="M15" s="29">
        <f>MIN(M2:M11)</f>
        <v>38</v>
      </c>
      <c r="N15" s="8"/>
      <c r="O15" s="29">
        <f>MIN(O2:O11)</f>
        <v>8</v>
      </c>
      <c r="P15" s="8"/>
      <c r="Q15" s="29">
        <f>MIN(Q2:Q11)</f>
        <v>14</v>
      </c>
      <c r="R15" s="8"/>
      <c r="S15" s="29">
        <f>MIN(S2:S11)</f>
        <v>2</v>
      </c>
      <c r="T15" s="8"/>
      <c r="U15" s="29">
        <f>MIN(U2:U11)</f>
        <v>1</v>
      </c>
      <c r="V15" s="8"/>
      <c r="W15" s="29">
        <f>MIN(W2:W11)</f>
        <v>4</v>
      </c>
      <c r="X15" s="8"/>
      <c r="Y15" s="29">
        <f>MIN(Y2:Y11)</f>
        <v>0</v>
      </c>
      <c r="Z15" s="8"/>
      <c r="AA15" s="29">
        <f>MIN(AA2:AA11)</f>
        <v>4</v>
      </c>
      <c r="AB15" s="8"/>
      <c r="AC15" s="29">
        <f>MIN(AC2:AC11)</f>
        <v>0.1</v>
      </c>
      <c r="AD15" s="8"/>
      <c r="AE15" s="29">
        <f>MIN(AE2:AE11)</f>
        <v>5</v>
      </c>
      <c r="AF15" s="8"/>
      <c r="AG15" s="29">
        <f>MIN(AG2:AG11)</f>
        <v>1.27399651</v>
      </c>
      <c r="AH15" s="8"/>
      <c r="AI15" s="29">
        <f>MIN(AI2:AI11)</f>
        <v>0.005050505051</v>
      </c>
      <c r="AJ15" s="8"/>
      <c r="AK15" s="29">
        <f>MIN(AK2:AK11)</f>
        <v>2.948303716</v>
      </c>
      <c r="AL15" s="8"/>
      <c r="AM15" s="29">
        <f>MIN(AM2:AM11)</f>
        <v>0.404040404</v>
      </c>
      <c r="AN15" s="8"/>
      <c r="AO15" s="29">
        <f>MIN(AO2:AO11)</f>
        <v>1.25</v>
      </c>
      <c r="AP15" s="8"/>
      <c r="AQ15" s="29">
        <f>MIN(AQ2:AQ11)</f>
        <v>0</v>
      </c>
      <c r="AR15" s="8"/>
      <c r="AS15" s="29">
        <f>MIN(AS2:AS11)</f>
        <v>0.1923076923</v>
      </c>
      <c r="AT15" s="8"/>
      <c r="AU15" s="29">
        <f>MIN(AU2:AU11)</f>
        <v>0.00484496124</v>
      </c>
      <c r="AV15" s="8"/>
      <c r="AW15" s="29">
        <f>MIN(AW2:AW11)</f>
        <v>0.03676470588</v>
      </c>
      <c r="AX15" s="8"/>
      <c r="AY15" s="29">
        <f>MIN(AY2:AY11)</f>
        <v>1.333333333</v>
      </c>
      <c r="AZ15" s="8"/>
      <c r="BA15" s="29">
        <f>MIN(BA2:BA11)</f>
        <v>0.8636363636</v>
      </c>
      <c r="BB15" s="8"/>
      <c r="BC15" s="29">
        <f>MIN(BC2:BC11)</f>
        <v>92</v>
      </c>
      <c r="BD15" s="8"/>
      <c r="BE15" s="8"/>
      <c r="BF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row>
  </sheetData>
  <autoFilter ref="$A$1:$BF$11">
    <sortState ref="A1:BF11">
      <sortCondition ref="Y1:Y11"/>
      <sortCondition ref="D1:D11"/>
    </sortState>
  </autoFilter>
  <hyperlinks>
    <hyperlink r:id="rId1" ref="C1"/>
    <hyperlink r:id="rId2" ref="F1"/>
    <hyperlink r:id="rId3" ref="I1"/>
    <hyperlink r:id="rId4" ref="AA1"/>
    <hyperlink r:id="rId5" ref="B2"/>
    <hyperlink r:id="rId6" ref="B3"/>
    <hyperlink r:id="rId7" ref="B4"/>
    <hyperlink r:id="rId8" ref="B5"/>
    <hyperlink r:id="rId9" ref="B6"/>
    <hyperlink r:id="rId10" ref="B7"/>
    <hyperlink r:id="rId11" ref="B8"/>
    <hyperlink r:id="rId12" ref="B9"/>
    <hyperlink r:id="rId13" ref="B10"/>
    <hyperlink r:id="rId14" ref="B11"/>
  </hyperlinks>
  <printOptions gridLines="1" horizontalCentered="1"/>
  <pageMargins bottom="0.75" footer="0.0" header="0.0" left="0.7" right="0.7" top="0.75"/>
  <pageSetup fitToHeight="0" cellComments="atEnd" orientation="landscape" pageOrder="overThenDown"/>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63"/>
  </cols>
  <sheetData>
    <row r="1">
      <c r="A1" s="1" t="s">
        <v>0</v>
      </c>
      <c r="B1" s="1" t="s">
        <v>123</v>
      </c>
      <c r="C1" s="33" t="s">
        <v>124</v>
      </c>
      <c r="D1" s="3" t="s">
        <v>3</v>
      </c>
      <c r="E1" s="4" t="s">
        <v>4</v>
      </c>
      <c r="F1" s="34" t="s">
        <v>125</v>
      </c>
      <c r="G1" s="5" t="s">
        <v>6</v>
      </c>
      <c r="H1" s="4" t="s">
        <v>4</v>
      </c>
      <c r="I1" s="35" t="s">
        <v>126</v>
      </c>
      <c r="J1" s="4" t="s">
        <v>4</v>
      </c>
      <c r="K1" s="36" t="s">
        <v>127</v>
      </c>
      <c r="L1" s="4" t="s">
        <v>4</v>
      </c>
      <c r="M1" s="36" t="s">
        <v>128</v>
      </c>
      <c r="N1" s="4" t="s">
        <v>4</v>
      </c>
      <c r="O1" s="36" t="s">
        <v>129</v>
      </c>
      <c r="P1" s="4" t="s">
        <v>4</v>
      </c>
      <c r="Q1" s="36" t="s">
        <v>130</v>
      </c>
      <c r="R1" s="4" t="s">
        <v>4</v>
      </c>
      <c r="S1" s="36" t="s">
        <v>131</v>
      </c>
      <c r="T1" s="4" t="s">
        <v>4</v>
      </c>
      <c r="U1" s="36" t="s">
        <v>132</v>
      </c>
      <c r="V1" s="4" t="s">
        <v>4</v>
      </c>
      <c r="W1" s="36" t="s">
        <v>133</v>
      </c>
      <c r="X1" s="4" t="s">
        <v>4</v>
      </c>
      <c r="Y1" s="36" t="s">
        <v>134</v>
      </c>
      <c r="Z1" s="4" t="s">
        <v>4</v>
      </c>
      <c r="AA1" s="35" t="s">
        <v>135</v>
      </c>
      <c r="AB1" s="4" t="s">
        <v>4</v>
      </c>
      <c r="AC1" s="36" t="s">
        <v>136</v>
      </c>
      <c r="AD1" s="4" t="s">
        <v>4</v>
      </c>
      <c r="AE1" s="36" t="s">
        <v>137</v>
      </c>
      <c r="AF1" s="4" t="s">
        <v>4</v>
      </c>
      <c r="AG1" s="1" t="s">
        <v>138</v>
      </c>
      <c r="AH1" s="4" t="s">
        <v>4</v>
      </c>
      <c r="AI1" s="1" t="s">
        <v>139</v>
      </c>
      <c r="AJ1" s="4" t="s">
        <v>4</v>
      </c>
      <c r="AK1" s="1" t="s">
        <v>140</v>
      </c>
      <c r="AL1" s="4" t="s">
        <v>4</v>
      </c>
      <c r="AM1" s="1" t="s">
        <v>141</v>
      </c>
      <c r="AN1" s="4" t="s">
        <v>4</v>
      </c>
      <c r="AO1" s="1" t="s">
        <v>142</v>
      </c>
      <c r="AP1" s="4" t="s">
        <v>4</v>
      </c>
      <c r="AQ1" s="1" t="s">
        <v>143</v>
      </c>
      <c r="AR1" s="4" t="s">
        <v>4</v>
      </c>
      <c r="AS1" s="6" t="s">
        <v>144</v>
      </c>
      <c r="AT1" s="4" t="s">
        <v>4</v>
      </c>
      <c r="AU1" s="1" t="s">
        <v>145</v>
      </c>
      <c r="AV1" s="4" t="s">
        <v>4</v>
      </c>
      <c r="AW1" s="1" t="s">
        <v>146</v>
      </c>
      <c r="AX1" s="4" t="s">
        <v>4</v>
      </c>
      <c r="AY1" s="1" t="s">
        <v>147</v>
      </c>
      <c r="AZ1" s="4" t="s">
        <v>4</v>
      </c>
      <c r="BA1" s="1" t="s">
        <v>148</v>
      </c>
      <c r="BB1" s="4" t="s">
        <v>4</v>
      </c>
      <c r="BC1" s="1" t="s">
        <v>149</v>
      </c>
      <c r="BD1" s="7" t="s">
        <v>150</v>
      </c>
      <c r="BE1" s="7" t="s">
        <v>32</v>
      </c>
      <c r="BF1" s="8"/>
    </row>
    <row r="2">
      <c r="A2" s="48" t="s">
        <v>151</v>
      </c>
      <c r="B2" s="49" t="s">
        <v>152</v>
      </c>
      <c r="C2" s="50">
        <v>39585.0</v>
      </c>
      <c r="D2" s="51">
        <f t="shared" ref="D2:D11" si="1">(TODAY()-C2)/365</f>
        <v>17.81643836</v>
      </c>
      <c r="E2" s="52">
        <f t="shared" ref="E2:E11" si="2">RANK(D2,D$2:D$11)</f>
        <v>4</v>
      </c>
      <c r="F2" s="53">
        <v>40028.0</v>
      </c>
      <c r="G2" s="51">
        <f t="shared" ref="G2:G11" si="3">(TODAY()-F2)/365</f>
        <v>16.60273973</v>
      </c>
      <c r="H2" s="52">
        <f t="shared" ref="H2:H11" si="4">RANK(G2,G$2:G$11)</f>
        <v>4</v>
      </c>
      <c r="I2" s="54">
        <v>29.0</v>
      </c>
      <c r="J2" s="52">
        <f t="shared" ref="J2:J11" si="5">RANK(I2,I$2:I$11)</f>
        <v>6</v>
      </c>
      <c r="K2" s="54">
        <v>337.0</v>
      </c>
      <c r="L2" s="52">
        <f t="shared" ref="L2:L11" si="6">RANK(K2,K$2:K$11)</f>
        <v>5</v>
      </c>
      <c r="M2" s="54">
        <v>1554.0</v>
      </c>
      <c r="N2" s="52">
        <f t="shared" ref="N2:N11" si="7">RANK(M2,M$2:M$11)</f>
        <v>4</v>
      </c>
      <c r="O2" s="54">
        <v>321.0</v>
      </c>
      <c r="P2" s="52">
        <f t="shared" ref="P2:P11" si="8">RANK(O2,O$2:O$11)</f>
        <v>4</v>
      </c>
      <c r="Q2" s="54">
        <v>14.0</v>
      </c>
      <c r="R2" s="52">
        <f t="shared" ref="R2:R11" si="9">RANK(Q2,Q$2:Q$11)</f>
        <v>8</v>
      </c>
      <c r="S2" s="54">
        <v>2.0</v>
      </c>
      <c r="T2" s="52">
        <f t="shared" ref="T2:T11" si="10">RANK(S2,S$2:S$11)</f>
        <v>9</v>
      </c>
      <c r="U2" s="54">
        <v>7.0</v>
      </c>
      <c r="V2" s="52">
        <f t="shared" ref="V2:V11" si="11">RANK(U2,U$2:U$11)</f>
        <v>9</v>
      </c>
      <c r="W2" s="54">
        <v>110.0</v>
      </c>
      <c r="X2" s="52">
        <f t="shared" ref="X2:X11" si="12">RANK(W2,W$2:W$11)</f>
        <v>7</v>
      </c>
      <c r="Y2" s="54">
        <v>60.0</v>
      </c>
      <c r="Z2" s="52">
        <f t="shared" ref="Z2:Z11" si="13">RANK(Y2,Y$2:Y$11)</f>
        <v>6</v>
      </c>
      <c r="AA2" s="54">
        <v>99.0</v>
      </c>
      <c r="AB2" s="52">
        <f t="shared" ref="AB2:AB11" si="14">RANK(AA2,AA$2:AA$11)</f>
        <v>7</v>
      </c>
      <c r="AC2" s="54">
        <v>0.01</v>
      </c>
      <c r="AD2" s="52">
        <f t="shared" ref="AD2:AD11" si="15">RANK(AC2,AC$2:AC$11)</f>
        <v>9</v>
      </c>
      <c r="AE2" s="54">
        <v>681.0</v>
      </c>
      <c r="AF2" s="52">
        <f t="shared" ref="AF2:AF11" si="16">RANK(AE2,AE$2:AE$11)</f>
        <v>7</v>
      </c>
      <c r="AG2" s="55">
        <f t="shared" ref="AG2:AG11" si="17">W2/D2</f>
        <v>6.174073505</v>
      </c>
      <c r="AH2" s="52">
        <f t="shared" ref="AH2:AH11" si="18">RANK(AG2,AG$2:AG$11)</f>
        <v>8</v>
      </c>
      <c r="AI2" s="55">
        <f t="shared" ref="AI2:AI11" si="19">AC2/D2</f>
        <v>0.0005612794095</v>
      </c>
      <c r="AJ2" s="52">
        <f t="shared" ref="AJ2:AJ11" si="20">RANK(AI2,AI$2:AI$11)</f>
        <v>10</v>
      </c>
      <c r="AK2" s="55">
        <f t="shared" ref="AK2:AK11" si="21">K2/D2</f>
        <v>18.9151161</v>
      </c>
      <c r="AL2" s="52">
        <f t="shared" ref="AL2:AL11" si="22">RANK(AK2,AK$2:AK$11)</f>
        <v>7</v>
      </c>
      <c r="AM2" s="55">
        <f t="shared" ref="AM2:AM11" si="23">O2/D2</f>
        <v>18.01706905</v>
      </c>
      <c r="AN2" s="52">
        <f t="shared" ref="AN2:AN11" si="24">RANK(AM2,AM$2:AM$11)</f>
        <v>6</v>
      </c>
      <c r="AO2" s="55">
        <f t="shared" ref="AO2:AO11" si="25">AE2/W2</f>
        <v>6.190909091</v>
      </c>
      <c r="AP2" s="52">
        <f t="shared" ref="AP2:AP11" si="26">RANK(AO2,AO$2:AO$11)</f>
        <v>2</v>
      </c>
      <c r="AQ2" s="56">
        <v>0.0</v>
      </c>
      <c r="AR2" s="52">
        <f t="shared" ref="AR2:AR11" si="27">RANK(AQ2,AQ$2:AQ$11)</f>
        <v>7</v>
      </c>
      <c r="AS2" s="57">
        <f t="shared" ref="AS2:AS11" si="28">S2/U2</f>
        <v>0.2857142857</v>
      </c>
      <c r="AT2" s="52">
        <f t="shared" ref="AT2:AT11" si="29">RANK(AS2,AS$2:AS$11)</f>
        <v>8</v>
      </c>
      <c r="AU2" s="55">
        <f t="shared" ref="AU2:AU11" si="30">AE2/K2</f>
        <v>2.020771513</v>
      </c>
      <c r="AV2" s="52">
        <f t="shared" ref="AV2:AV11" si="31">RANK(AU2,AU$2:AU$11)</f>
        <v>7</v>
      </c>
      <c r="AW2" s="55">
        <f t="shared" ref="AW2:AW11" si="32">AE2/O2</f>
        <v>2.121495327</v>
      </c>
      <c r="AX2" s="52">
        <f t="shared" ref="AX2:AX11" si="33">RANK(AW2,AW$2:AW$11)</f>
        <v>8</v>
      </c>
      <c r="AY2" s="55">
        <f t="shared" ref="AY2:AY11" si="34">M2/K2</f>
        <v>4.611275964</v>
      </c>
      <c r="AZ2" s="52">
        <f t="shared" ref="AZ2:AZ11" si="35">RANK(AY2,AY$2:AY$11)</f>
        <v>4</v>
      </c>
      <c r="BA2" s="58">
        <f t="shared" ref="BA2:BA11" si="36">AA2/W2</f>
        <v>0.9</v>
      </c>
      <c r="BB2" s="52">
        <f t="shared" ref="BB2:BB11" si="37">RANK(BA2,BA$2:BA$11)</f>
        <v>3</v>
      </c>
      <c r="BC2" s="59">
        <f t="shared" ref="BC2:BC11" si="38">SUM(BB2,AZ2,AX2,AV2,AT2,AR2,AP2,AN2,AL2,AJ2,AH2,AF2,AD2,AB2,Z2,X2,V2,T2,R2,P2,N2,L2,J2,H2,E2)</f>
        <v>159</v>
      </c>
      <c r="BD2" s="59">
        <f t="shared" ref="BD2:BD11" si="39">AVERAGE(BB2,AZ2,AX2,AV2,AT2,AR2,AP2,AN2,AL2,AJ2,AH2,AF2,AD2,AB2,Z2,X2,V2,T2,R2,P2,N2,L2,J2,H2,E2)</f>
        <v>6.36</v>
      </c>
      <c r="BE2" s="60">
        <f t="shared" ref="BE2:BE11" si="40">RANK(BC2, BC$2:BC$11, TRUE)</f>
        <v>8</v>
      </c>
      <c r="BF2" s="61"/>
    </row>
    <row r="3">
      <c r="A3" s="48" t="s">
        <v>153</v>
      </c>
      <c r="B3" s="49" t="s">
        <v>154</v>
      </c>
      <c r="C3" s="62">
        <v>41949.0</v>
      </c>
      <c r="D3" s="51">
        <f t="shared" si="1"/>
        <v>11.33972603</v>
      </c>
      <c r="E3" s="52">
        <f t="shared" si="2"/>
        <v>7</v>
      </c>
      <c r="F3" s="63">
        <v>42442.0</v>
      </c>
      <c r="G3" s="51">
        <f t="shared" si="3"/>
        <v>9.989041096</v>
      </c>
      <c r="H3" s="52">
        <f t="shared" si="4"/>
        <v>7</v>
      </c>
      <c r="I3" s="54">
        <v>12.0</v>
      </c>
      <c r="J3" s="52">
        <f t="shared" si="5"/>
        <v>9</v>
      </c>
      <c r="K3" s="54">
        <v>95.0</v>
      </c>
      <c r="L3" s="52">
        <f t="shared" si="6"/>
        <v>10</v>
      </c>
      <c r="M3" s="54">
        <v>206.0</v>
      </c>
      <c r="N3" s="52">
        <f t="shared" si="7"/>
        <v>9</v>
      </c>
      <c r="O3" s="54">
        <v>26.0</v>
      </c>
      <c r="P3" s="52">
        <f t="shared" si="8"/>
        <v>10</v>
      </c>
      <c r="Q3" s="54">
        <v>14.0</v>
      </c>
      <c r="R3" s="52">
        <f t="shared" si="9"/>
        <v>8</v>
      </c>
      <c r="S3" s="54">
        <v>4.0</v>
      </c>
      <c r="T3" s="52">
        <f t="shared" si="10"/>
        <v>8</v>
      </c>
      <c r="U3" s="54">
        <v>11.0</v>
      </c>
      <c r="V3" s="52">
        <f t="shared" si="11"/>
        <v>8</v>
      </c>
      <c r="W3" s="54">
        <v>49.0</v>
      </c>
      <c r="X3" s="52">
        <f t="shared" si="12"/>
        <v>10</v>
      </c>
      <c r="Y3" s="54">
        <v>16.0</v>
      </c>
      <c r="Z3" s="52">
        <f t="shared" si="13"/>
        <v>9</v>
      </c>
      <c r="AA3" s="54">
        <v>42.0</v>
      </c>
      <c r="AB3" s="52">
        <f t="shared" si="14"/>
        <v>10</v>
      </c>
      <c r="AC3" s="54">
        <v>0.01</v>
      </c>
      <c r="AD3" s="52">
        <f t="shared" si="15"/>
        <v>9</v>
      </c>
      <c r="AE3" s="54">
        <v>122.0</v>
      </c>
      <c r="AF3" s="52">
        <f t="shared" si="16"/>
        <v>9</v>
      </c>
      <c r="AG3" s="55">
        <f t="shared" si="17"/>
        <v>4.321092051</v>
      </c>
      <c r="AH3" s="52">
        <f t="shared" si="18"/>
        <v>9</v>
      </c>
      <c r="AI3" s="55">
        <f t="shared" si="19"/>
        <v>0.0008818555207</v>
      </c>
      <c r="AJ3" s="52">
        <f t="shared" si="20"/>
        <v>9</v>
      </c>
      <c r="AK3" s="55">
        <f t="shared" si="21"/>
        <v>8.377627446</v>
      </c>
      <c r="AL3" s="52">
        <f t="shared" si="22"/>
        <v>10</v>
      </c>
      <c r="AM3" s="55">
        <f t="shared" si="23"/>
        <v>2.292824354</v>
      </c>
      <c r="AN3" s="52">
        <f t="shared" si="24"/>
        <v>10</v>
      </c>
      <c r="AO3" s="55">
        <f t="shared" si="25"/>
        <v>2.489795918</v>
      </c>
      <c r="AP3" s="52">
        <f t="shared" si="26"/>
        <v>7</v>
      </c>
      <c r="AQ3" s="56">
        <v>0.0</v>
      </c>
      <c r="AR3" s="52">
        <f t="shared" si="27"/>
        <v>7</v>
      </c>
      <c r="AS3" s="57">
        <f t="shared" si="28"/>
        <v>0.3636363636</v>
      </c>
      <c r="AT3" s="52">
        <f t="shared" si="29"/>
        <v>6</v>
      </c>
      <c r="AU3" s="55">
        <f t="shared" si="30"/>
        <v>1.284210526</v>
      </c>
      <c r="AV3" s="52">
        <f t="shared" si="31"/>
        <v>8</v>
      </c>
      <c r="AW3" s="55">
        <f t="shared" si="32"/>
        <v>4.692307692</v>
      </c>
      <c r="AX3" s="52">
        <f t="shared" si="33"/>
        <v>7</v>
      </c>
      <c r="AY3" s="55">
        <f t="shared" si="34"/>
        <v>2.168421053</v>
      </c>
      <c r="AZ3" s="52">
        <f t="shared" si="35"/>
        <v>9</v>
      </c>
      <c r="BA3" s="58">
        <f t="shared" si="36"/>
        <v>0.8571428571</v>
      </c>
      <c r="BB3" s="52">
        <f t="shared" si="37"/>
        <v>6</v>
      </c>
      <c r="BC3" s="59">
        <f t="shared" si="38"/>
        <v>211</v>
      </c>
      <c r="BD3" s="59">
        <f t="shared" si="39"/>
        <v>8.44</v>
      </c>
      <c r="BE3" s="60">
        <f t="shared" si="40"/>
        <v>10</v>
      </c>
      <c r="BF3" s="61"/>
    </row>
    <row r="4">
      <c r="A4" s="66" t="s">
        <v>155</v>
      </c>
      <c r="B4" s="67" t="s">
        <v>156</v>
      </c>
      <c r="C4" s="68">
        <v>41597.0</v>
      </c>
      <c r="D4" s="11">
        <f t="shared" si="1"/>
        <v>12.30410959</v>
      </c>
      <c r="E4" s="12">
        <f t="shared" si="2"/>
        <v>6</v>
      </c>
      <c r="F4" s="46">
        <v>41629.0</v>
      </c>
      <c r="G4" s="14">
        <f t="shared" si="3"/>
        <v>12.21643836</v>
      </c>
      <c r="H4" s="12">
        <f t="shared" si="4"/>
        <v>6</v>
      </c>
      <c r="I4" s="42">
        <v>39.0</v>
      </c>
      <c r="J4" s="12">
        <f t="shared" si="5"/>
        <v>3</v>
      </c>
      <c r="K4" s="42">
        <v>1035.0</v>
      </c>
      <c r="L4" s="12">
        <f t="shared" si="6"/>
        <v>2</v>
      </c>
      <c r="M4" s="42">
        <v>5193.0</v>
      </c>
      <c r="N4" s="12">
        <f t="shared" si="7"/>
        <v>2</v>
      </c>
      <c r="O4" s="42">
        <v>596.0</v>
      </c>
      <c r="P4" s="12">
        <f t="shared" si="8"/>
        <v>1</v>
      </c>
      <c r="Q4" s="42">
        <v>14.0</v>
      </c>
      <c r="R4" s="12">
        <f t="shared" si="9"/>
        <v>8</v>
      </c>
      <c r="S4" s="42">
        <v>2.0</v>
      </c>
      <c r="T4" s="12">
        <f t="shared" si="10"/>
        <v>9</v>
      </c>
      <c r="U4" s="42">
        <v>425.0</v>
      </c>
      <c r="V4" s="12">
        <f t="shared" si="11"/>
        <v>1</v>
      </c>
      <c r="W4" s="42">
        <v>2864.0</v>
      </c>
      <c r="X4" s="12">
        <f t="shared" si="12"/>
        <v>1</v>
      </c>
      <c r="Y4" s="42">
        <v>1250.0</v>
      </c>
      <c r="Z4" s="12">
        <f t="shared" si="13"/>
        <v>1</v>
      </c>
      <c r="AA4" s="42">
        <v>2259.0</v>
      </c>
      <c r="AB4" s="12">
        <f t="shared" si="14"/>
        <v>1</v>
      </c>
      <c r="AC4" s="42">
        <v>2911.0</v>
      </c>
      <c r="AD4" s="12">
        <f t="shared" si="15"/>
        <v>1</v>
      </c>
      <c r="AE4" s="42">
        <v>5896.0</v>
      </c>
      <c r="AF4" s="12">
        <f t="shared" si="16"/>
        <v>2</v>
      </c>
      <c r="AG4" s="16">
        <f t="shared" si="17"/>
        <v>232.7677577</v>
      </c>
      <c r="AH4" s="12">
        <f t="shared" si="18"/>
        <v>1</v>
      </c>
      <c r="AI4" s="16">
        <f t="shared" si="19"/>
        <v>236.5876197</v>
      </c>
      <c r="AJ4" s="12">
        <f t="shared" si="20"/>
        <v>1</v>
      </c>
      <c r="AK4" s="16">
        <f t="shared" si="21"/>
        <v>84.11823647</v>
      </c>
      <c r="AL4" s="12">
        <f t="shared" si="22"/>
        <v>3</v>
      </c>
      <c r="AM4" s="16">
        <f t="shared" si="23"/>
        <v>48.43910042</v>
      </c>
      <c r="AN4" s="12">
        <f t="shared" si="24"/>
        <v>3</v>
      </c>
      <c r="AO4" s="16">
        <f t="shared" si="25"/>
        <v>2.058659218</v>
      </c>
      <c r="AP4" s="12">
        <f t="shared" si="26"/>
        <v>9</v>
      </c>
      <c r="AQ4" s="16">
        <f t="shared" ref="AQ4:AQ6" si="41">AE4/AC4</f>
        <v>2.025420818</v>
      </c>
      <c r="AR4" s="12">
        <f t="shared" si="27"/>
        <v>6</v>
      </c>
      <c r="AS4" s="17">
        <f t="shared" si="28"/>
        <v>0.004705882353</v>
      </c>
      <c r="AT4" s="12">
        <f t="shared" si="29"/>
        <v>10</v>
      </c>
      <c r="AU4" s="16">
        <f t="shared" si="30"/>
        <v>5.696618357</v>
      </c>
      <c r="AV4" s="12">
        <f t="shared" si="31"/>
        <v>4</v>
      </c>
      <c r="AW4" s="16">
        <f t="shared" si="32"/>
        <v>9.89261745</v>
      </c>
      <c r="AX4" s="12">
        <f t="shared" si="33"/>
        <v>5</v>
      </c>
      <c r="AY4" s="16">
        <f t="shared" si="34"/>
        <v>5.017391304</v>
      </c>
      <c r="AZ4" s="12">
        <f t="shared" si="35"/>
        <v>3</v>
      </c>
      <c r="BA4" s="18">
        <f t="shared" si="36"/>
        <v>0.7887569832</v>
      </c>
      <c r="BB4" s="12">
        <f t="shared" si="37"/>
        <v>10</v>
      </c>
      <c r="BC4" s="19">
        <f t="shared" si="38"/>
        <v>99</v>
      </c>
      <c r="BD4" s="19">
        <f t="shared" si="39"/>
        <v>3.96</v>
      </c>
      <c r="BE4" s="15">
        <f t="shared" si="40"/>
        <v>3</v>
      </c>
      <c r="BF4" s="8"/>
    </row>
    <row r="5">
      <c r="A5" s="66" t="s">
        <v>157</v>
      </c>
      <c r="B5" s="67" t="s">
        <v>158</v>
      </c>
      <c r="C5" s="69">
        <v>36102.0</v>
      </c>
      <c r="D5" s="11">
        <f t="shared" si="1"/>
        <v>27.35890411</v>
      </c>
      <c r="E5" s="12">
        <f t="shared" si="2"/>
        <v>2</v>
      </c>
      <c r="F5" s="46">
        <v>35528.0</v>
      </c>
      <c r="G5" s="14">
        <f t="shared" si="3"/>
        <v>28.93150685</v>
      </c>
      <c r="H5" s="12">
        <f t="shared" si="4"/>
        <v>1</v>
      </c>
      <c r="I5" s="42">
        <v>46.0</v>
      </c>
      <c r="J5" s="12">
        <f t="shared" si="5"/>
        <v>2</v>
      </c>
      <c r="K5" s="42">
        <v>667.0</v>
      </c>
      <c r="L5" s="12">
        <f t="shared" si="6"/>
        <v>3</v>
      </c>
      <c r="M5" s="42">
        <v>4708.0</v>
      </c>
      <c r="N5" s="12">
        <f t="shared" si="7"/>
        <v>3</v>
      </c>
      <c r="O5" s="42">
        <v>337.0</v>
      </c>
      <c r="P5" s="12">
        <f t="shared" si="8"/>
        <v>3</v>
      </c>
      <c r="Q5" s="42">
        <v>19.0</v>
      </c>
      <c r="R5" s="12">
        <f t="shared" si="9"/>
        <v>7</v>
      </c>
      <c r="S5" s="42">
        <v>52.0</v>
      </c>
      <c r="T5" s="12">
        <f t="shared" si="10"/>
        <v>3</v>
      </c>
      <c r="U5" s="42">
        <v>136.0</v>
      </c>
      <c r="V5" s="12">
        <f t="shared" si="11"/>
        <v>3</v>
      </c>
      <c r="W5" s="42">
        <v>1841.0</v>
      </c>
      <c r="X5" s="12">
        <f t="shared" si="12"/>
        <v>3</v>
      </c>
      <c r="Y5" s="42">
        <v>910.0</v>
      </c>
      <c r="Z5" s="12">
        <f t="shared" si="13"/>
        <v>2</v>
      </c>
      <c r="AA5" s="42">
        <v>1482.0</v>
      </c>
      <c r="AB5" s="12">
        <f t="shared" si="14"/>
        <v>3</v>
      </c>
      <c r="AC5" s="42">
        <v>544.0</v>
      </c>
      <c r="AD5" s="12">
        <f t="shared" si="15"/>
        <v>2</v>
      </c>
      <c r="AE5" s="42">
        <v>4613.0</v>
      </c>
      <c r="AF5" s="12">
        <f t="shared" si="16"/>
        <v>3</v>
      </c>
      <c r="AG5" s="16">
        <f t="shared" si="17"/>
        <v>67.29070699</v>
      </c>
      <c r="AH5" s="12">
        <f t="shared" si="18"/>
        <v>4</v>
      </c>
      <c r="AI5" s="16">
        <f t="shared" si="19"/>
        <v>19.88383737</v>
      </c>
      <c r="AJ5" s="12">
        <f t="shared" si="20"/>
        <v>3</v>
      </c>
      <c r="AK5" s="16">
        <f t="shared" si="21"/>
        <v>24.37963148</v>
      </c>
      <c r="AL5" s="12">
        <f t="shared" si="22"/>
        <v>6</v>
      </c>
      <c r="AM5" s="16">
        <f t="shared" si="23"/>
        <v>12.31774484</v>
      </c>
      <c r="AN5" s="12">
        <f t="shared" si="24"/>
        <v>7</v>
      </c>
      <c r="AO5" s="16">
        <f t="shared" si="25"/>
        <v>2.505703422</v>
      </c>
      <c r="AP5" s="12">
        <f t="shared" si="26"/>
        <v>6</v>
      </c>
      <c r="AQ5" s="16">
        <f t="shared" si="41"/>
        <v>8.479779412</v>
      </c>
      <c r="AR5" s="12">
        <f t="shared" si="27"/>
        <v>3</v>
      </c>
      <c r="AS5" s="17">
        <f t="shared" si="28"/>
        <v>0.3823529412</v>
      </c>
      <c r="AT5" s="12">
        <f t="shared" si="29"/>
        <v>5</v>
      </c>
      <c r="AU5" s="16">
        <f t="shared" si="30"/>
        <v>6.916041979</v>
      </c>
      <c r="AV5" s="12">
        <f t="shared" si="31"/>
        <v>2</v>
      </c>
      <c r="AW5" s="16">
        <f t="shared" si="32"/>
        <v>13.6884273</v>
      </c>
      <c r="AX5" s="12">
        <f t="shared" si="33"/>
        <v>2</v>
      </c>
      <c r="AY5" s="16">
        <f t="shared" si="34"/>
        <v>7.058470765</v>
      </c>
      <c r="AZ5" s="12">
        <f t="shared" si="35"/>
        <v>2</v>
      </c>
      <c r="BA5" s="18">
        <f t="shared" si="36"/>
        <v>0.8049972841</v>
      </c>
      <c r="BB5" s="12">
        <f t="shared" si="37"/>
        <v>9</v>
      </c>
      <c r="BC5" s="19">
        <f t="shared" si="38"/>
        <v>89</v>
      </c>
      <c r="BD5" s="19">
        <f t="shared" si="39"/>
        <v>3.56</v>
      </c>
      <c r="BE5" s="15">
        <f t="shared" si="40"/>
        <v>2</v>
      </c>
      <c r="BF5" s="8"/>
    </row>
    <row r="6">
      <c r="A6" s="43" t="s">
        <v>159</v>
      </c>
      <c r="B6" s="44" t="s">
        <v>160</v>
      </c>
      <c r="C6" s="69">
        <v>45405.0</v>
      </c>
      <c r="D6" s="11">
        <f t="shared" si="1"/>
        <v>1.871232877</v>
      </c>
      <c r="E6" s="12">
        <f t="shared" si="2"/>
        <v>10</v>
      </c>
      <c r="F6" s="65">
        <v>45547.0</v>
      </c>
      <c r="G6" s="14">
        <f t="shared" si="3"/>
        <v>1.482191781</v>
      </c>
      <c r="H6" s="12">
        <f t="shared" si="4"/>
        <v>10</v>
      </c>
      <c r="I6" s="42">
        <v>11.0</v>
      </c>
      <c r="J6" s="12">
        <f t="shared" si="5"/>
        <v>10</v>
      </c>
      <c r="K6" s="42">
        <v>128.0</v>
      </c>
      <c r="L6" s="12">
        <f t="shared" si="6"/>
        <v>9</v>
      </c>
      <c r="M6" s="42">
        <v>195.0</v>
      </c>
      <c r="N6" s="12">
        <f t="shared" si="7"/>
        <v>10</v>
      </c>
      <c r="O6" s="42">
        <v>104.0</v>
      </c>
      <c r="P6" s="12">
        <f t="shared" si="8"/>
        <v>8</v>
      </c>
      <c r="Q6" s="42">
        <v>20.0</v>
      </c>
      <c r="R6" s="12">
        <f t="shared" si="9"/>
        <v>6</v>
      </c>
      <c r="S6" s="42">
        <v>6.0</v>
      </c>
      <c r="T6" s="12">
        <f t="shared" si="10"/>
        <v>7</v>
      </c>
      <c r="U6" s="42">
        <v>30.0</v>
      </c>
      <c r="V6" s="12">
        <f t="shared" si="11"/>
        <v>6</v>
      </c>
      <c r="W6" s="42">
        <v>50.0</v>
      </c>
      <c r="X6" s="12">
        <f t="shared" si="12"/>
        <v>9</v>
      </c>
      <c r="Y6" s="42">
        <v>11.0</v>
      </c>
      <c r="Z6" s="12">
        <f t="shared" si="13"/>
        <v>10</v>
      </c>
      <c r="AA6" s="42">
        <v>43.0</v>
      </c>
      <c r="AB6" s="12">
        <f t="shared" si="14"/>
        <v>9</v>
      </c>
      <c r="AC6" s="42">
        <v>10.0</v>
      </c>
      <c r="AD6" s="12">
        <f t="shared" si="15"/>
        <v>7</v>
      </c>
      <c r="AE6" s="42">
        <v>49.0</v>
      </c>
      <c r="AF6" s="12">
        <f t="shared" si="16"/>
        <v>10</v>
      </c>
      <c r="AG6" s="16">
        <f t="shared" si="17"/>
        <v>26.72035139</v>
      </c>
      <c r="AH6" s="12">
        <f t="shared" si="18"/>
        <v>6</v>
      </c>
      <c r="AI6" s="16">
        <f t="shared" si="19"/>
        <v>5.344070278</v>
      </c>
      <c r="AJ6" s="12">
        <f t="shared" si="20"/>
        <v>5</v>
      </c>
      <c r="AK6" s="16">
        <f t="shared" si="21"/>
        <v>68.40409956</v>
      </c>
      <c r="AL6" s="12">
        <f t="shared" si="22"/>
        <v>4</v>
      </c>
      <c r="AM6" s="16">
        <f t="shared" si="23"/>
        <v>55.57833089</v>
      </c>
      <c r="AN6" s="12">
        <f t="shared" si="24"/>
        <v>2</v>
      </c>
      <c r="AO6" s="16">
        <f t="shared" si="25"/>
        <v>0.98</v>
      </c>
      <c r="AP6" s="12">
        <f t="shared" si="26"/>
        <v>10</v>
      </c>
      <c r="AQ6" s="16">
        <f t="shared" si="41"/>
        <v>4.9</v>
      </c>
      <c r="AR6" s="12">
        <f t="shared" si="27"/>
        <v>5</v>
      </c>
      <c r="AS6" s="17">
        <f t="shared" si="28"/>
        <v>0.2</v>
      </c>
      <c r="AT6" s="12">
        <f t="shared" si="29"/>
        <v>9</v>
      </c>
      <c r="AU6" s="16">
        <f t="shared" si="30"/>
        <v>0.3828125</v>
      </c>
      <c r="AV6" s="12">
        <f t="shared" si="31"/>
        <v>10</v>
      </c>
      <c r="AW6" s="16">
        <f t="shared" si="32"/>
        <v>0.4711538462</v>
      </c>
      <c r="AX6" s="12">
        <f t="shared" si="33"/>
        <v>10</v>
      </c>
      <c r="AY6" s="16">
        <f t="shared" si="34"/>
        <v>1.5234375</v>
      </c>
      <c r="AZ6" s="12">
        <f t="shared" si="35"/>
        <v>10</v>
      </c>
      <c r="BA6" s="18">
        <f t="shared" si="36"/>
        <v>0.86</v>
      </c>
      <c r="BB6" s="12">
        <f t="shared" si="37"/>
        <v>5</v>
      </c>
      <c r="BC6" s="19">
        <f t="shared" si="38"/>
        <v>197</v>
      </c>
      <c r="BD6" s="19">
        <f t="shared" si="39"/>
        <v>7.88</v>
      </c>
      <c r="BE6" s="15">
        <f t="shared" si="40"/>
        <v>9</v>
      </c>
      <c r="BF6" s="8"/>
    </row>
    <row r="7">
      <c r="A7" s="43" t="s">
        <v>161</v>
      </c>
      <c r="B7" s="44" t="s">
        <v>162</v>
      </c>
      <c r="C7" s="70">
        <v>36397.0</v>
      </c>
      <c r="D7" s="11">
        <f t="shared" si="1"/>
        <v>26.55068493</v>
      </c>
      <c r="E7" s="12">
        <f t="shared" si="2"/>
        <v>3</v>
      </c>
      <c r="F7" s="46">
        <v>36550.0</v>
      </c>
      <c r="G7" s="14">
        <f t="shared" si="3"/>
        <v>26.13150685</v>
      </c>
      <c r="H7" s="12">
        <f t="shared" si="4"/>
        <v>3</v>
      </c>
      <c r="I7" s="42">
        <v>51.0</v>
      </c>
      <c r="J7" s="12">
        <f t="shared" si="5"/>
        <v>1</v>
      </c>
      <c r="K7" s="42">
        <v>1143.0</v>
      </c>
      <c r="L7" s="12">
        <f t="shared" si="6"/>
        <v>1</v>
      </c>
      <c r="M7" s="42">
        <v>17973.0</v>
      </c>
      <c r="N7" s="12">
        <f t="shared" si="7"/>
        <v>1</v>
      </c>
      <c r="O7" s="42">
        <v>577.0</v>
      </c>
      <c r="P7" s="12">
        <f t="shared" si="8"/>
        <v>2</v>
      </c>
      <c r="Q7" s="42">
        <v>22.0</v>
      </c>
      <c r="R7" s="12">
        <f t="shared" si="9"/>
        <v>5</v>
      </c>
      <c r="S7" s="42">
        <v>121.0</v>
      </c>
      <c r="T7" s="12">
        <f t="shared" si="10"/>
        <v>1</v>
      </c>
      <c r="U7" s="42">
        <v>251.0</v>
      </c>
      <c r="V7" s="12">
        <f t="shared" si="11"/>
        <v>2</v>
      </c>
      <c r="W7" s="42">
        <v>2063.0</v>
      </c>
      <c r="X7" s="12">
        <f t="shared" si="12"/>
        <v>2</v>
      </c>
      <c r="Y7" s="42">
        <v>834.0</v>
      </c>
      <c r="Z7" s="12">
        <f t="shared" si="13"/>
        <v>3</v>
      </c>
      <c r="AA7" s="42">
        <v>1745.0</v>
      </c>
      <c r="AB7" s="12">
        <f t="shared" si="14"/>
        <v>2</v>
      </c>
      <c r="AC7" s="42">
        <v>362.0</v>
      </c>
      <c r="AD7" s="12">
        <f t="shared" si="15"/>
        <v>3</v>
      </c>
      <c r="AE7" s="42">
        <v>6264.0</v>
      </c>
      <c r="AF7" s="12">
        <f t="shared" si="16"/>
        <v>1</v>
      </c>
      <c r="AG7" s="16">
        <f t="shared" si="17"/>
        <v>77.70044371</v>
      </c>
      <c r="AH7" s="12">
        <f t="shared" si="18"/>
        <v>3</v>
      </c>
      <c r="AI7" s="16">
        <f t="shared" si="19"/>
        <v>13.63429987</v>
      </c>
      <c r="AJ7" s="12">
        <f t="shared" si="20"/>
        <v>4</v>
      </c>
      <c r="AK7" s="16">
        <f t="shared" si="21"/>
        <v>43.04973687</v>
      </c>
      <c r="AL7" s="12">
        <f t="shared" si="22"/>
        <v>5</v>
      </c>
      <c r="AM7" s="16">
        <f t="shared" si="23"/>
        <v>21.7320194</v>
      </c>
      <c r="AN7" s="12">
        <f t="shared" si="24"/>
        <v>5</v>
      </c>
      <c r="AO7" s="16">
        <f t="shared" si="25"/>
        <v>3.036354823</v>
      </c>
      <c r="AP7" s="12">
        <f t="shared" si="26"/>
        <v>4</v>
      </c>
      <c r="AQ7" s="16">
        <v>0.0</v>
      </c>
      <c r="AR7" s="12">
        <f t="shared" si="27"/>
        <v>7</v>
      </c>
      <c r="AS7" s="17">
        <f t="shared" si="28"/>
        <v>0.4820717131</v>
      </c>
      <c r="AT7" s="12">
        <f t="shared" si="29"/>
        <v>3</v>
      </c>
      <c r="AU7" s="16">
        <f t="shared" si="30"/>
        <v>5.480314961</v>
      </c>
      <c r="AV7" s="12">
        <f t="shared" si="31"/>
        <v>5</v>
      </c>
      <c r="AW7" s="16">
        <f t="shared" si="32"/>
        <v>10.85615251</v>
      </c>
      <c r="AX7" s="12">
        <f t="shared" si="33"/>
        <v>4</v>
      </c>
      <c r="AY7" s="16">
        <f t="shared" si="34"/>
        <v>15.72440945</v>
      </c>
      <c r="AZ7" s="12">
        <f t="shared" si="35"/>
        <v>1</v>
      </c>
      <c r="BA7" s="18">
        <f t="shared" si="36"/>
        <v>0.8458555502</v>
      </c>
      <c r="BB7" s="12">
        <f t="shared" si="37"/>
        <v>7</v>
      </c>
      <c r="BC7" s="19">
        <f t="shared" si="38"/>
        <v>78</v>
      </c>
      <c r="BD7" s="19">
        <f t="shared" si="39"/>
        <v>3.12</v>
      </c>
      <c r="BE7" s="15">
        <f t="shared" si="40"/>
        <v>1</v>
      </c>
      <c r="BF7" s="8"/>
    </row>
    <row r="8">
      <c r="A8" s="71" t="s">
        <v>163</v>
      </c>
      <c r="B8" s="72" t="s">
        <v>164</v>
      </c>
      <c r="C8" s="73">
        <v>43894.0</v>
      </c>
      <c r="D8" s="74">
        <f t="shared" si="1"/>
        <v>6.010958904</v>
      </c>
      <c r="E8" s="75">
        <f t="shared" si="2"/>
        <v>8</v>
      </c>
      <c r="F8" s="76">
        <v>44100.0</v>
      </c>
      <c r="G8" s="74">
        <f t="shared" si="3"/>
        <v>5.446575342</v>
      </c>
      <c r="H8" s="75">
        <f t="shared" si="4"/>
        <v>8</v>
      </c>
      <c r="I8" s="77">
        <v>23.0</v>
      </c>
      <c r="J8" s="75">
        <f t="shared" si="5"/>
        <v>8</v>
      </c>
      <c r="K8" s="77">
        <v>610.0</v>
      </c>
      <c r="L8" s="75">
        <f t="shared" si="6"/>
        <v>4</v>
      </c>
      <c r="M8" s="77">
        <v>1331.0</v>
      </c>
      <c r="N8" s="75">
        <f t="shared" si="7"/>
        <v>5</v>
      </c>
      <c r="O8" s="77">
        <v>131.0</v>
      </c>
      <c r="P8" s="75">
        <f t="shared" si="8"/>
        <v>7</v>
      </c>
      <c r="Q8" s="77">
        <v>24.0</v>
      </c>
      <c r="R8" s="75">
        <f t="shared" si="9"/>
        <v>3</v>
      </c>
      <c r="S8" s="77">
        <v>10.0</v>
      </c>
      <c r="T8" s="75">
        <f t="shared" si="10"/>
        <v>6</v>
      </c>
      <c r="U8" s="77">
        <v>22.0</v>
      </c>
      <c r="V8" s="75">
        <f t="shared" si="11"/>
        <v>7</v>
      </c>
      <c r="W8" s="77">
        <v>117.0</v>
      </c>
      <c r="X8" s="75">
        <f t="shared" si="12"/>
        <v>6</v>
      </c>
      <c r="Y8" s="77">
        <v>57.0</v>
      </c>
      <c r="Z8" s="75">
        <f t="shared" si="13"/>
        <v>7</v>
      </c>
      <c r="AA8" s="77">
        <v>107.0</v>
      </c>
      <c r="AB8" s="75">
        <f t="shared" si="14"/>
        <v>6</v>
      </c>
      <c r="AC8" s="77">
        <v>14.0</v>
      </c>
      <c r="AD8" s="75">
        <f t="shared" si="15"/>
        <v>6</v>
      </c>
      <c r="AE8" s="77">
        <v>251.0</v>
      </c>
      <c r="AF8" s="75">
        <f t="shared" si="16"/>
        <v>8</v>
      </c>
      <c r="AG8" s="78">
        <f t="shared" si="17"/>
        <v>19.4644485</v>
      </c>
      <c r="AH8" s="75">
        <f t="shared" si="18"/>
        <v>7</v>
      </c>
      <c r="AI8" s="78">
        <f t="shared" si="19"/>
        <v>2.329079307</v>
      </c>
      <c r="AJ8" s="75">
        <f t="shared" si="20"/>
        <v>6</v>
      </c>
      <c r="AK8" s="78">
        <f t="shared" si="21"/>
        <v>101.4813127</v>
      </c>
      <c r="AL8" s="75">
        <f t="shared" si="22"/>
        <v>1</v>
      </c>
      <c r="AM8" s="78">
        <f t="shared" si="23"/>
        <v>21.7935278</v>
      </c>
      <c r="AN8" s="75">
        <f t="shared" si="24"/>
        <v>4</v>
      </c>
      <c r="AO8" s="78">
        <f t="shared" si="25"/>
        <v>2.145299145</v>
      </c>
      <c r="AP8" s="75">
        <f t="shared" si="26"/>
        <v>8</v>
      </c>
      <c r="AQ8" s="78">
        <f t="shared" ref="AQ8:AQ10" si="42">AE8/AC8</f>
        <v>17.92857143</v>
      </c>
      <c r="AR8" s="75">
        <f t="shared" si="27"/>
        <v>2</v>
      </c>
      <c r="AS8" s="79">
        <f t="shared" si="28"/>
        <v>0.4545454545</v>
      </c>
      <c r="AT8" s="75">
        <f t="shared" si="29"/>
        <v>4</v>
      </c>
      <c r="AU8" s="78">
        <f t="shared" si="30"/>
        <v>0.4114754098</v>
      </c>
      <c r="AV8" s="75">
        <f t="shared" si="31"/>
        <v>9</v>
      </c>
      <c r="AW8" s="78">
        <f t="shared" si="32"/>
        <v>1.916030534</v>
      </c>
      <c r="AX8" s="75">
        <f t="shared" si="33"/>
        <v>9</v>
      </c>
      <c r="AY8" s="78">
        <f t="shared" si="34"/>
        <v>2.181967213</v>
      </c>
      <c r="AZ8" s="75">
        <f t="shared" si="35"/>
        <v>8</v>
      </c>
      <c r="BA8" s="80">
        <f t="shared" si="36"/>
        <v>0.9145299145</v>
      </c>
      <c r="BB8" s="75">
        <f t="shared" si="37"/>
        <v>2</v>
      </c>
      <c r="BC8" s="81">
        <f t="shared" si="38"/>
        <v>149</v>
      </c>
      <c r="BD8" s="81">
        <f t="shared" si="39"/>
        <v>5.96</v>
      </c>
      <c r="BE8" s="82">
        <f t="shared" si="40"/>
        <v>7</v>
      </c>
      <c r="BF8" s="83"/>
    </row>
    <row r="9">
      <c r="A9" s="43" t="s">
        <v>165</v>
      </c>
      <c r="B9" s="44" t="s">
        <v>166</v>
      </c>
      <c r="C9" s="70">
        <v>45223.0</v>
      </c>
      <c r="D9" s="11">
        <f t="shared" si="1"/>
        <v>2.369863014</v>
      </c>
      <c r="E9" s="12">
        <f t="shared" si="2"/>
        <v>9</v>
      </c>
      <c r="F9" s="46">
        <v>45387.0</v>
      </c>
      <c r="G9" s="14">
        <f t="shared" si="3"/>
        <v>1.920547945</v>
      </c>
      <c r="H9" s="12">
        <f t="shared" si="4"/>
        <v>9</v>
      </c>
      <c r="I9" s="42">
        <v>25.0</v>
      </c>
      <c r="J9" s="12">
        <f t="shared" si="5"/>
        <v>7</v>
      </c>
      <c r="K9" s="42">
        <v>215.0</v>
      </c>
      <c r="L9" s="12">
        <f t="shared" si="6"/>
        <v>7</v>
      </c>
      <c r="M9" s="42">
        <v>787.0</v>
      </c>
      <c r="N9" s="12">
        <f t="shared" si="7"/>
        <v>7</v>
      </c>
      <c r="O9" s="42">
        <v>221.0</v>
      </c>
      <c r="P9" s="12">
        <f t="shared" si="8"/>
        <v>5</v>
      </c>
      <c r="Q9" s="42">
        <v>24.0</v>
      </c>
      <c r="R9" s="12">
        <f t="shared" si="9"/>
        <v>3</v>
      </c>
      <c r="S9" s="42">
        <v>31.0</v>
      </c>
      <c r="T9" s="12">
        <f t="shared" si="10"/>
        <v>4</v>
      </c>
      <c r="U9" s="42">
        <v>108.0</v>
      </c>
      <c r="V9" s="12">
        <f t="shared" si="11"/>
        <v>4</v>
      </c>
      <c r="W9" s="42">
        <v>551.0</v>
      </c>
      <c r="X9" s="12">
        <f t="shared" si="12"/>
        <v>4</v>
      </c>
      <c r="Y9" s="42">
        <v>264.0</v>
      </c>
      <c r="Z9" s="12">
        <f t="shared" si="13"/>
        <v>5</v>
      </c>
      <c r="AA9" s="42">
        <v>543.0</v>
      </c>
      <c r="AB9" s="12">
        <f t="shared" si="14"/>
        <v>4</v>
      </c>
      <c r="AC9" s="42">
        <v>204.0</v>
      </c>
      <c r="AD9" s="12">
        <f t="shared" si="15"/>
        <v>4</v>
      </c>
      <c r="AE9" s="42">
        <v>1460.0</v>
      </c>
      <c r="AF9" s="12">
        <f t="shared" si="16"/>
        <v>5</v>
      </c>
      <c r="AG9" s="16">
        <f t="shared" si="17"/>
        <v>232.5028902</v>
      </c>
      <c r="AH9" s="12">
        <f t="shared" si="18"/>
        <v>2</v>
      </c>
      <c r="AI9" s="16">
        <f t="shared" si="19"/>
        <v>86.08092486</v>
      </c>
      <c r="AJ9" s="12">
        <f t="shared" si="20"/>
        <v>2</v>
      </c>
      <c r="AK9" s="16">
        <f t="shared" si="21"/>
        <v>90.72254335</v>
      </c>
      <c r="AL9" s="12">
        <f t="shared" si="22"/>
        <v>2</v>
      </c>
      <c r="AM9" s="16">
        <f t="shared" si="23"/>
        <v>93.25433526</v>
      </c>
      <c r="AN9" s="12">
        <f t="shared" si="24"/>
        <v>1</v>
      </c>
      <c r="AO9" s="16">
        <f t="shared" si="25"/>
        <v>2.649727768</v>
      </c>
      <c r="AP9" s="12">
        <f t="shared" si="26"/>
        <v>5</v>
      </c>
      <c r="AQ9" s="16">
        <f t="shared" si="42"/>
        <v>7.156862745</v>
      </c>
      <c r="AR9" s="12">
        <f t="shared" si="27"/>
        <v>4</v>
      </c>
      <c r="AS9" s="17">
        <f t="shared" si="28"/>
        <v>0.287037037</v>
      </c>
      <c r="AT9" s="12">
        <f t="shared" si="29"/>
        <v>7</v>
      </c>
      <c r="AU9" s="16">
        <f t="shared" si="30"/>
        <v>6.790697674</v>
      </c>
      <c r="AV9" s="12">
        <f t="shared" si="31"/>
        <v>3</v>
      </c>
      <c r="AW9" s="16">
        <f t="shared" si="32"/>
        <v>6.606334842</v>
      </c>
      <c r="AX9" s="12">
        <f t="shared" si="33"/>
        <v>6</v>
      </c>
      <c r="AY9" s="16">
        <f t="shared" si="34"/>
        <v>3.660465116</v>
      </c>
      <c r="AZ9" s="12">
        <f t="shared" si="35"/>
        <v>6</v>
      </c>
      <c r="BA9" s="18">
        <f t="shared" si="36"/>
        <v>0.9854809437</v>
      </c>
      <c r="BB9" s="12">
        <f t="shared" si="37"/>
        <v>1</v>
      </c>
      <c r="BC9" s="19">
        <f t="shared" si="38"/>
        <v>116</v>
      </c>
      <c r="BD9" s="19">
        <f t="shared" si="39"/>
        <v>4.64</v>
      </c>
      <c r="BE9" s="15">
        <f t="shared" si="40"/>
        <v>4</v>
      </c>
      <c r="BF9" s="8"/>
    </row>
    <row r="10">
      <c r="A10" s="43" t="s">
        <v>167</v>
      </c>
      <c r="B10" s="44" t="s">
        <v>168</v>
      </c>
      <c r="C10" s="69">
        <v>40914.0</v>
      </c>
      <c r="D10" s="11">
        <f t="shared" si="1"/>
        <v>14.17534247</v>
      </c>
      <c r="E10" s="12">
        <f t="shared" si="2"/>
        <v>5</v>
      </c>
      <c r="F10" s="46">
        <v>41287.0</v>
      </c>
      <c r="G10" s="14">
        <f t="shared" si="3"/>
        <v>13.15342466</v>
      </c>
      <c r="H10" s="12">
        <f t="shared" si="4"/>
        <v>5</v>
      </c>
      <c r="I10" s="42">
        <v>31.0</v>
      </c>
      <c r="J10" s="12">
        <f t="shared" si="5"/>
        <v>5</v>
      </c>
      <c r="K10" s="42">
        <v>141.0</v>
      </c>
      <c r="L10" s="12">
        <f t="shared" si="6"/>
        <v>8</v>
      </c>
      <c r="M10" s="42">
        <v>465.0</v>
      </c>
      <c r="N10" s="12">
        <f t="shared" si="7"/>
        <v>8</v>
      </c>
      <c r="O10" s="42">
        <v>137.0</v>
      </c>
      <c r="P10" s="12">
        <f t="shared" si="8"/>
        <v>6</v>
      </c>
      <c r="Q10" s="42">
        <v>25.0</v>
      </c>
      <c r="R10" s="12">
        <f t="shared" si="9"/>
        <v>2</v>
      </c>
      <c r="S10" s="42">
        <v>22.0</v>
      </c>
      <c r="T10" s="12">
        <f t="shared" si="10"/>
        <v>5</v>
      </c>
      <c r="U10" s="42">
        <v>38.0</v>
      </c>
      <c r="V10" s="12">
        <f t="shared" si="11"/>
        <v>5</v>
      </c>
      <c r="W10" s="42">
        <v>534.0</v>
      </c>
      <c r="X10" s="12">
        <f t="shared" si="12"/>
        <v>5</v>
      </c>
      <c r="Y10" s="42">
        <v>272.0</v>
      </c>
      <c r="Z10" s="12">
        <f t="shared" si="13"/>
        <v>4</v>
      </c>
      <c r="AA10" s="42">
        <v>446.0</v>
      </c>
      <c r="AB10" s="12">
        <f t="shared" si="14"/>
        <v>5</v>
      </c>
      <c r="AC10" s="42">
        <v>31.0</v>
      </c>
      <c r="AD10" s="12">
        <f t="shared" si="15"/>
        <v>5</v>
      </c>
      <c r="AE10" s="42">
        <v>1873.0</v>
      </c>
      <c r="AF10" s="12">
        <f t="shared" si="16"/>
        <v>4</v>
      </c>
      <c r="AG10" s="16">
        <f t="shared" si="17"/>
        <v>37.67104755</v>
      </c>
      <c r="AH10" s="12">
        <f t="shared" si="18"/>
        <v>5</v>
      </c>
      <c r="AI10" s="16">
        <f t="shared" si="19"/>
        <v>2.186896019</v>
      </c>
      <c r="AJ10" s="12">
        <f t="shared" si="20"/>
        <v>7</v>
      </c>
      <c r="AK10" s="16">
        <f t="shared" si="21"/>
        <v>9.946849633</v>
      </c>
      <c r="AL10" s="12">
        <f t="shared" si="22"/>
        <v>9</v>
      </c>
      <c r="AM10" s="16">
        <f t="shared" si="23"/>
        <v>9.664669501</v>
      </c>
      <c r="AN10" s="12">
        <f t="shared" si="24"/>
        <v>8</v>
      </c>
      <c r="AO10" s="16">
        <f t="shared" si="25"/>
        <v>3.507490637</v>
      </c>
      <c r="AP10" s="12">
        <f t="shared" si="26"/>
        <v>3</v>
      </c>
      <c r="AQ10" s="16">
        <f t="shared" si="42"/>
        <v>60.41935484</v>
      </c>
      <c r="AR10" s="12">
        <f t="shared" si="27"/>
        <v>1</v>
      </c>
      <c r="AS10" s="17">
        <f t="shared" si="28"/>
        <v>0.5789473684</v>
      </c>
      <c r="AT10" s="12">
        <f t="shared" si="29"/>
        <v>2</v>
      </c>
      <c r="AU10" s="16">
        <f t="shared" si="30"/>
        <v>13.28368794</v>
      </c>
      <c r="AV10" s="12">
        <f t="shared" si="31"/>
        <v>1</v>
      </c>
      <c r="AW10" s="16">
        <f t="shared" si="32"/>
        <v>13.67153285</v>
      </c>
      <c r="AX10" s="12">
        <f t="shared" si="33"/>
        <v>3</v>
      </c>
      <c r="AY10" s="16">
        <f t="shared" si="34"/>
        <v>3.29787234</v>
      </c>
      <c r="AZ10" s="12">
        <f t="shared" si="35"/>
        <v>7</v>
      </c>
      <c r="BA10" s="18">
        <f t="shared" si="36"/>
        <v>0.8352059925</v>
      </c>
      <c r="BB10" s="12">
        <f t="shared" si="37"/>
        <v>8</v>
      </c>
      <c r="BC10" s="19">
        <f t="shared" si="38"/>
        <v>126</v>
      </c>
      <c r="BD10" s="19">
        <f t="shared" si="39"/>
        <v>5.04</v>
      </c>
      <c r="BE10" s="15">
        <f t="shared" si="40"/>
        <v>5</v>
      </c>
      <c r="BF10" s="8"/>
    </row>
    <row r="11">
      <c r="A11" s="48" t="s">
        <v>169</v>
      </c>
      <c r="B11" s="49" t="s">
        <v>170</v>
      </c>
      <c r="C11" s="84">
        <v>36075.0</v>
      </c>
      <c r="D11" s="51">
        <f t="shared" si="1"/>
        <v>27.43287671</v>
      </c>
      <c r="E11" s="52">
        <f t="shared" si="2"/>
        <v>1</v>
      </c>
      <c r="F11" s="63">
        <v>36443.0</v>
      </c>
      <c r="G11" s="51">
        <f t="shared" si="3"/>
        <v>26.42465753</v>
      </c>
      <c r="H11" s="52">
        <f t="shared" si="4"/>
        <v>2</v>
      </c>
      <c r="I11" s="54">
        <v>36.0</v>
      </c>
      <c r="J11" s="52">
        <f t="shared" si="5"/>
        <v>4</v>
      </c>
      <c r="K11" s="54">
        <v>281.0</v>
      </c>
      <c r="L11" s="52">
        <f t="shared" si="6"/>
        <v>6</v>
      </c>
      <c r="M11" s="54">
        <v>1030.0</v>
      </c>
      <c r="N11" s="52">
        <f t="shared" si="7"/>
        <v>6</v>
      </c>
      <c r="O11" s="54">
        <v>84.0</v>
      </c>
      <c r="P11" s="52">
        <f t="shared" si="8"/>
        <v>9</v>
      </c>
      <c r="Q11" s="54">
        <v>28.0</v>
      </c>
      <c r="R11" s="52">
        <f t="shared" si="9"/>
        <v>1</v>
      </c>
      <c r="S11" s="54">
        <v>71.0</v>
      </c>
      <c r="T11" s="52">
        <f t="shared" si="10"/>
        <v>2</v>
      </c>
      <c r="U11" s="54">
        <v>4.0</v>
      </c>
      <c r="V11" s="52">
        <f t="shared" si="11"/>
        <v>10</v>
      </c>
      <c r="W11" s="54">
        <v>108.0</v>
      </c>
      <c r="X11" s="52">
        <f t="shared" si="12"/>
        <v>8</v>
      </c>
      <c r="Y11" s="54">
        <v>48.0</v>
      </c>
      <c r="Z11" s="52">
        <f t="shared" si="13"/>
        <v>8</v>
      </c>
      <c r="AA11" s="54">
        <v>96.0</v>
      </c>
      <c r="AB11" s="52">
        <f t="shared" si="14"/>
        <v>8</v>
      </c>
      <c r="AC11" s="54">
        <v>1.0</v>
      </c>
      <c r="AD11" s="52">
        <f t="shared" si="15"/>
        <v>8</v>
      </c>
      <c r="AE11" s="54">
        <v>1426.0</v>
      </c>
      <c r="AF11" s="52">
        <f t="shared" si="16"/>
        <v>6</v>
      </c>
      <c r="AG11" s="55">
        <f t="shared" si="17"/>
        <v>3.936882053</v>
      </c>
      <c r="AH11" s="52">
        <f t="shared" si="18"/>
        <v>10</v>
      </c>
      <c r="AI11" s="55">
        <f t="shared" si="19"/>
        <v>0.0364526116</v>
      </c>
      <c r="AJ11" s="52">
        <f t="shared" si="20"/>
        <v>8</v>
      </c>
      <c r="AK11" s="55">
        <f t="shared" si="21"/>
        <v>10.24318386</v>
      </c>
      <c r="AL11" s="52">
        <f t="shared" si="22"/>
        <v>8</v>
      </c>
      <c r="AM11" s="55">
        <f t="shared" si="23"/>
        <v>3.062019375</v>
      </c>
      <c r="AN11" s="52">
        <f t="shared" si="24"/>
        <v>9</v>
      </c>
      <c r="AO11" s="55">
        <f t="shared" si="25"/>
        <v>13.2037037</v>
      </c>
      <c r="AP11" s="52">
        <f t="shared" si="26"/>
        <v>1</v>
      </c>
      <c r="AQ11" s="56">
        <v>0.0</v>
      </c>
      <c r="AR11" s="52">
        <f t="shared" si="27"/>
        <v>7</v>
      </c>
      <c r="AS11" s="57">
        <f t="shared" si="28"/>
        <v>17.75</v>
      </c>
      <c r="AT11" s="52">
        <f t="shared" si="29"/>
        <v>1</v>
      </c>
      <c r="AU11" s="55">
        <f t="shared" si="30"/>
        <v>5.074733096</v>
      </c>
      <c r="AV11" s="52">
        <f t="shared" si="31"/>
        <v>6</v>
      </c>
      <c r="AW11" s="55">
        <f t="shared" si="32"/>
        <v>16.97619048</v>
      </c>
      <c r="AX11" s="52">
        <f t="shared" si="33"/>
        <v>1</v>
      </c>
      <c r="AY11" s="55">
        <f t="shared" si="34"/>
        <v>3.665480427</v>
      </c>
      <c r="AZ11" s="52">
        <f t="shared" si="35"/>
        <v>5</v>
      </c>
      <c r="BA11" s="58">
        <f t="shared" si="36"/>
        <v>0.8888888889</v>
      </c>
      <c r="BB11" s="52">
        <f t="shared" si="37"/>
        <v>4</v>
      </c>
      <c r="BC11" s="59">
        <f t="shared" si="38"/>
        <v>139</v>
      </c>
      <c r="BD11" s="59">
        <f t="shared" si="39"/>
        <v>5.56</v>
      </c>
      <c r="BE11" s="60">
        <f t="shared" si="40"/>
        <v>6</v>
      </c>
      <c r="BF11" s="61"/>
    </row>
  </sheetData>
  <autoFilter ref="$A$1:$BF$1000">
    <sortState ref="A1:BF1000">
      <sortCondition ref="Q1:Q1000"/>
      <sortCondition ref="W1:W1000"/>
      <sortCondition ref="AE1:AE1000"/>
    </sortState>
  </autoFilter>
  <hyperlinks>
    <hyperlink r:id="rId1" ref="C1"/>
    <hyperlink r:id="rId2" ref="F1"/>
    <hyperlink r:id="rId3" ref="I1"/>
    <hyperlink r:id="rId4" ref="AA1"/>
    <hyperlink r:id="rId5" ref="B2"/>
    <hyperlink r:id="rId6" ref="B3"/>
    <hyperlink r:id="rId7" ref="B4"/>
    <hyperlink r:id="rId8" ref="B5"/>
    <hyperlink r:id="rId9" ref="B6"/>
    <hyperlink r:id="rId10" ref="B7"/>
    <hyperlink r:id="rId11" ref="B8"/>
    <hyperlink r:id="rId12" ref="B9"/>
    <hyperlink r:id="rId13" ref="B10"/>
    <hyperlink r:id="rId14" ref="B11"/>
  </hyperlinks>
  <drawing r:id="rId1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63"/>
    <col customWidth="1" min="5" max="5" width="30.88"/>
    <col customWidth="1" min="6" max="6" width="55.25"/>
  </cols>
  <sheetData>
    <row r="1">
      <c r="A1" s="85" t="s">
        <v>171</v>
      </c>
      <c r="B1" s="85" t="s">
        <v>172</v>
      </c>
      <c r="C1" s="85" t="s">
        <v>173</v>
      </c>
      <c r="D1" s="85" t="s">
        <v>174</v>
      </c>
      <c r="E1" s="85" t="s">
        <v>175</v>
      </c>
      <c r="F1" s="85" t="s">
        <v>176</v>
      </c>
      <c r="G1" s="85" t="s">
        <v>177</v>
      </c>
      <c r="H1" s="85" t="s">
        <v>178</v>
      </c>
      <c r="I1" s="85" t="s">
        <v>179</v>
      </c>
      <c r="J1" s="85" t="s">
        <v>180</v>
      </c>
      <c r="K1" s="85" t="s">
        <v>181</v>
      </c>
      <c r="L1" s="85" t="s">
        <v>182</v>
      </c>
      <c r="M1" s="85" t="s">
        <v>183</v>
      </c>
      <c r="N1" s="85" t="s">
        <v>184</v>
      </c>
      <c r="O1" s="85" t="s">
        <v>185</v>
      </c>
      <c r="P1" s="85" t="s">
        <v>186</v>
      </c>
      <c r="Q1" s="85" t="s">
        <v>187</v>
      </c>
      <c r="R1" s="85" t="s">
        <v>188</v>
      </c>
      <c r="S1" s="85" t="s">
        <v>189</v>
      </c>
      <c r="T1" s="85" t="s">
        <v>190</v>
      </c>
      <c r="U1" s="85" t="s">
        <v>191</v>
      </c>
      <c r="V1" s="85" t="s">
        <v>192</v>
      </c>
      <c r="W1" s="85" t="s">
        <v>193</v>
      </c>
      <c r="X1" s="85" t="s">
        <v>194</v>
      </c>
      <c r="Y1" s="85" t="s">
        <v>195</v>
      </c>
      <c r="Z1" s="85" t="s">
        <v>196</v>
      </c>
      <c r="AA1" s="85" t="s">
        <v>197</v>
      </c>
      <c r="AB1" s="85" t="s">
        <v>198</v>
      </c>
      <c r="AC1" s="85" t="s">
        <v>199</v>
      </c>
      <c r="AD1" s="85" t="s">
        <v>200</v>
      </c>
      <c r="AE1" s="85" t="s">
        <v>201</v>
      </c>
      <c r="AF1" s="85" t="s">
        <v>202</v>
      </c>
      <c r="AG1" s="85" t="s">
        <v>203</v>
      </c>
      <c r="AH1" s="85" t="s">
        <v>204</v>
      </c>
      <c r="AI1" s="85" t="s">
        <v>205</v>
      </c>
      <c r="AJ1" s="85" t="s">
        <v>206</v>
      </c>
      <c r="AK1" s="85" t="s">
        <v>207</v>
      </c>
      <c r="AL1" s="85" t="s">
        <v>208</v>
      </c>
      <c r="AM1" s="85" t="s">
        <v>209</v>
      </c>
      <c r="AN1" s="85" t="s">
        <v>210</v>
      </c>
      <c r="AO1" s="85" t="s">
        <v>211</v>
      </c>
      <c r="AP1" s="85" t="s">
        <v>212</v>
      </c>
      <c r="AQ1" s="85" t="s">
        <v>213</v>
      </c>
      <c r="AR1" s="85" t="s">
        <v>214</v>
      </c>
      <c r="AS1" s="85" t="s">
        <v>215</v>
      </c>
      <c r="AT1" s="85" t="s">
        <v>216</v>
      </c>
      <c r="AU1" s="85" t="s">
        <v>217</v>
      </c>
      <c r="AV1" s="85" t="s">
        <v>218</v>
      </c>
      <c r="AW1" s="85" t="s">
        <v>219</v>
      </c>
      <c r="AX1" s="85" t="s">
        <v>220</v>
      </c>
      <c r="AY1" s="85" t="s">
        <v>221</v>
      </c>
      <c r="AZ1" s="85" t="s">
        <v>222</v>
      </c>
      <c r="BA1" s="85" t="s">
        <v>223</v>
      </c>
      <c r="BB1" s="85" t="s">
        <v>224</v>
      </c>
      <c r="BC1" s="85" t="s">
        <v>225</v>
      </c>
      <c r="BD1" s="85" t="s">
        <v>226</v>
      </c>
      <c r="BE1" s="85" t="s">
        <v>227</v>
      </c>
      <c r="BF1" s="85" t="s">
        <v>228</v>
      </c>
      <c r="BG1" s="85" t="s">
        <v>229</v>
      </c>
      <c r="BH1" s="85" t="s">
        <v>230</v>
      </c>
      <c r="BI1" s="85" t="s">
        <v>231</v>
      </c>
      <c r="BJ1" s="85" t="s">
        <v>232</v>
      </c>
      <c r="BK1" s="85" t="s">
        <v>233</v>
      </c>
      <c r="BL1" s="85" t="s">
        <v>234</v>
      </c>
      <c r="BM1" s="85" t="s">
        <v>235</v>
      </c>
      <c r="BN1" s="85" t="s">
        <v>236</v>
      </c>
      <c r="BO1" s="85" t="s">
        <v>237</v>
      </c>
      <c r="BP1" s="85" t="s">
        <v>238</v>
      </c>
      <c r="BQ1" s="85" t="s">
        <v>239</v>
      </c>
      <c r="BR1" s="85" t="s">
        <v>240</v>
      </c>
      <c r="BS1" s="85" t="s">
        <v>241</v>
      </c>
      <c r="BT1" s="85" t="s">
        <v>242</v>
      </c>
      <c r="BU1" s="85" t="s">
        <v>243</v>
      </c>
      <c r="BV1" s="85" t="s">
        <v>244</v>
      </c>
      <c r="BW1" s="85" t="s">
        <v>245</v>
      </c>
      <c r="BX1" s="85" t="s">
        <v>246</v>
      </c>
      <c r="BY1" s="85" t="s">
        <v>247</v>
      </c>
      <c r="BZ1" s="85" t="s">
        <v>248</v>
      </c>
      <c r="CA1" s="85" t="s">
        <v>249</v>
      </c>
      <c r="CB1" s="85" t="s">
        <v>250</v>
      </c>
      <c r="CC1" s="85" t="s">
        <v>251</v>
      </c>
      <c r="CD1" s="85" t="s">
        <v>252</v>
      </c>
      <c r="CE1" s="85" t="s">
        <v>253</v>
      </c>
      <c r="CF1" s="85" t="s">
        <v>254</v>
      </c>
      <c r="CG1" s="85" t="s">
        <v>255</v>
      </c>
      <c r="CH1" s="85" t="s">
        <v>256</v>
      </c>
      <c r="CI1" s="85" t="s">
        <v>257</v>
      </c>
      <c r="CJ1" s="85" t="s">
        <v>258</v>
      </c>
      <c r="CK1" s="86"/>
      <c r="CL1" s="86"/>
      <c r="CM1" s="86"/>
      <c r="CN1" s="86"/>
    </row>
    <row r="2">
      <c r="A2" s="87" t="s">
        <v>259</v>
      </c>
      <c r="D2" s="88">
        <v>2082.0</v>
      </c>
      <c r="E2" s="88" t="s">
        <v>260</v>
      </c>
      <c r="F2" s="88"/>
      <c r="G2" s="88" t="s">
        <v>261</v>
      </c>
      <c r="H2" s="88">
        <v>200.0</v>
      </c>
      <c r="I2" s="88" t="s">
        <v>262</v>
      </c>
      <c r="J2" s="88" t="s">
        <v>263</v>
      </c>
      <c r="L2" s="88" t="s">
        <v>264</v>
      </c>
      <c r="M2" s="88">
        <v>56.0</v>
      </c>
      <c r="N2" s="88">
        <v>523.0</v>
      </c>
      <c r="O2" s="88" t="s">
        <v>265</v>
      </c>
      <c r="P2" s="88">
        <v>216.0</v>
      </c>
      <c r="Q2" s="88">
        <v>1337.0</v>
      </c>
      <c r="R2" s="88" t="s">
        <v>266</v>
      </c>
      <c r="S2" s="88">
        <v>172.0</v>
      </c>
      <c r="T2" s="88">
        <v>1073.0</v>
      </c>
      <c r="V2" s="88">
        <v>0.0</v>
      </c>
      <c r="W2" s="88" t="s">
        <v>267</v>
      </c>
      <c r="X2" s="88">
        <v>52.0</v>
      </c>
      <c r="Z2" s="88">
        <v>0.0</v>
      </c>
      <c r="AA2" s="88" t="s">
        <v>268</v>
      </c>
      <c r="AB2" s="88">
        <v>22.0</v>
      </c>
      <c r="AC2" s="88" t="s">
        <v>269</v>
      </c>
      <c r="AD2" s="88">
        <v>18.0</v>
      </c>
      <c r="AE2" s="88" t="s">
        <v>270</v>
      </c>
      <c r="AH2" s="87" t="s">
        <v>259</v>
      </c>
      <c r="AN2" s="88">
        <v>282602.0</v>
      </c>
      <c r="AO2" s="88">
        <v>37041.0</v>
      </c>
      <c r="AP2" s="88">
        <v>37041.0</v>
      </c>
      <c r="AQ2" s="88">
        <v>14.19</v>
      </c>
      <c r="AS2" s="88">
        <v>1374.0</v>
      </c>
      <c r="AT2" s="88">
        <v>233.0</v>
      </c>
      <c r="AU2" s="88">
        <v>5.897</v>
      </c>
      <c r="AV2" s="88">
        <v>60.896</v>
      </c>
      <c r="AW2" s="88" t="s">
        <v>271</v>
      </c>
      <c r="AX2" s="88">
        <v>4.197</v>
      </c>
      <c r="AY2" s="88">
        <v>0.0</v>
      </c>
      <c r="AZ2" s="88">
        <v>0.0</v>
      </c>
      <c r="BB2" s="88">
        <v>370.0</v>
      </c>
      <c r="BC2" s="88">
        <v>180.0</v>
      </c>
      <c r="BD2" s="88">
        <v>0.0</v>
      </c>
      <c r="BE2" s="88">
        <v>99.45</v>
      </c>
      <c r="BF2" s="88">
        <v>113.0</v>
      </c>
      <c r="BG2" s="88">
        <v>41.0</v>
      </c>
      <c r="BH2" s="88">
        <v>0.0</v>
      </c>
      <c r="BI2" s="88">
        <v>16.0</v>
      </c>
      <c r="BJ2" s="88">
        <v>7.0</v>
      </c>
      <c r="BK2" s="88">
        <v>0.0</v>
      </c>
      <c r="BP2" s="88" t="s">
        <v>272</v>
      </c>
      <c r="BQ2" s="88">
        <v>0.105</v>
      </c>
      <c r="BV2" s="88" t="s">
        <v>273</v>
      </c>
      <c r="BW2" s="88">
        <v>1.1</v>
      </c>
      <c r="BX2" s="88">
        <v>4408.0</v>
      </c>
      <c r="BY2" s="88">
        <v>1492.0</v>
      </c>
      <c r="BZ2" s="88">
        <v>0.72</v>
      </c>
      <c r="CA2" s="88">
        <v>0.0</v>
      </c>
      <c r="CB2" s="88">
        <v>12648.0</v>
      </c>
      <c r="CC2" s="88">
        <v>0.0</v>
      </c>
      <c r="CI2" s="87" t="s">
        <v>259</v>
      </c>
      <c r="CJ2" s="89">
        <v>46037.65886574074</v>
      </c>
    </row>
    <row r="3">
      <c r="A3" s="87" t="s">
        <v>274</v>
      </c>
      <c r="D3" s="88">
        <v>27.0</v>
      </c>
      <c r="E3" s="88" t="s">
        <v>260</v>
      </c>
      <c r="F3" s="88"/>
      <c r="G3" s="88" t="s">
        <v>261</v>
      </c>
      <c r="H3" s="88">
        <v>200.0</v>
      </c>
      <c r="I3" s="88" t="s">
        <v>262</v>
      </c>
      <c r="J3" s="88" t="s">
        <v>263</v>
      </c>
      <c r="L3" s="88" t="s">
        <v>275</v>
      </c>
      <c r="M3" s="88">
        <v>24.0</v>
      </c>
      <c r="N3" s="88">
        <v>218.0</v>
      </c>
      <c r="O3" s="88" t="s">
        <v>276</v>
      </c>
      <c r="P3" s="88">
        <v>154.0</v>
      </c>
      <c r="Q3" s="88">
        <v>966.0</v>
      </c>
      <c r="R3" s="88" t="s">
        <v>276</v>
      </c>
      <c r="S3" s="88">
        <v>154.0</v>
      </c>
      <c r="T3" s="88">
        <v>966.0</v>
      </c>
      <c r="V3" s="88">
        <v>0.0</v>
      </c>
      <c r="W3" s="88" t="s">
        <v>277</v>
      </c>
      <c r="X3" s="88">
        <v>34.0</v>
      </c>
      <c r="Z3" s="88">
        <v>0.0</v>
      </c>
      <c r="AA3" s="88" t="s">
        <v>278</v>
      </c>
      <c r="AB3" s="88">
        <v>36.0</v>
      </c>
      <c r="AC3" s="88" t="s">
        <v>279</v>
      </c>
      <c r="AD3" s="88">
        <v>23.0</v>
      </c>
      <c r="AE3" s="88" t="s">
        <v>270</v>
      </c>
      <c r="AH3" s="87" t="s">
        <v>274</v>
      </c>
      <c r="AN3" s="88">
        <v>158677.0</v>
      </c>
      <c r="AO3" s="88">
        <v>26838.0</v>
      </c>
      <c r="AP3" s="88">
        <v>26838.0</v>
      </c>
      <c r="AQ3" s="88">
        <v>10.281</v>
      </c>
      <c r="AS3" s="88">
        <v>550.0</v>
      </c>
      <c r="AT3" s="88">
        <v>96.0</v>
      </c>
      <c r="AU3" s="88">
        <v>5.729</v>
      </c>
      <c r="AV3" s="88">
        <v>40.28</v>
      </c>
      <c r="AW3" s="88" t="s">
        <v>280</v>
      </c>
      <c r="AX3" s="88">
        <v>4.429</v>
      </c>
      <c r="AY3" s="88">
        <v>1.0</v>
      </c>
      <c r="AZ3" s="88">
        <v>1.0</v>
      </c>
      <c r="BB3" s="88">
        <v>544.0</v>
      </c>
      <c r="BC3" s="88">
        <v>180.0</v>
      </c>
      <c r="BD3" s="88">
        <v>0.0</v>
      </c>
      <c r="BE3" s="88">
        <v>99.45</v>
      </c>
      <c r="BF3" s="88">
        <v>93.0</v>
      </c>
      <c r="BG3" s="88">
        <v>41.0</v>
      </c>
      <c r="BH3" s="88">
        <v>0.0</v>
      </c>
      <c r="BI3" s="88">
        <v>2.0</v>
      </c>
      <c r="BJ3" s="88">
        <v>2.0</v>
      </c>
      <c r="BK3" s="88">
        <v>0.0</v>
      </c>
      <c r="BP3" s="88" t="s">
        <v>281</v>
      </c>
      <c r="BQ3" s="88">
        <v>0.178</v>
      </c>
      <c r="BV3" s="88" t="s">
        <v>273</v>
      </c>
      <c r="BW3" s="88">
        <v>1.1</v>
      </c>
      <c r="BX3" s="88">
        <v>55.0</v>
      </c>
      <c r="BY3" s="88">
        <v>20.0</v>
      </c>
      <c r="BZ3" s="88">
        <v>0.74</v>
      </c>
      <c r="CA3" s="88">
        <v>0.0</v>
      </c>
      <c r="CB3" s="88">
        <v>154.0</v>
      </c>
      <c r="CC3" s="88">
        <v>0.0</v>
      </c>
      <c r="CI3" s="87" t="s">
        <v>274</v>
      </c>
      <c r="CJ3" s="89">
        <v>46037.65891203703</v>
      </c>
    </row>
    <row r="4">
      <c r="A4" s="87" t="s">
        <v>282</v>
      </c>
      <c r="F4" s="88"/>
      <c r="G4" s="88" t="s">
        <v>261</v>
      </c>
      <c r="H4" s="88">
        <v>200.0</v>
      </c>
      <c r="I4" s="88" t="s">
        <v>262</v>
      </c>
      <c r="J4" s="88" t="s">
        <v>263</v>
      </c>
      <c r="L4" s="88" t="s">
        <v>283</v>
      </c>
      <c r="M4" s="88">
        <v>62.0</v>
      </c>
      <c r="N4" s="88">
        <v>592.0</v>
      </c>
      <c r="O4" s="88" t="s">
        <v>284</v>
      </c>
      <c r="P4" s="88">
        <v>194.0</v>
      </c>
      <c r="Q4" s="88">
        <v>1193.0</v>
      </c>
      <c r="R4" s="88" t="s">
        <v>285</v>
      </c>
      <c r="S4" s="88">
        <v>112.0</v>
      </c>
      <c r="T4" s="88">
        <v>705.0</v>
      </c>
      <c r="V4" s="88">
        <v>0.0</v>
      </c>
      <c r="W4" s="88" t="s">
        <v>286</v>
      </c>
      <c r="X4" s="88">
        <v>63.0</v>
      </c>
      <c r="Z4" s="88">
        <v>0.0</v>
      </c>
      <c r="AA4" s="88" t="s">
        <v>287</v>
      </c>
      <c r="AB4" s="88">
        <v>16.0</v>
      </c>
      <c r="AC4" s="88" t="s">
        <v>288</v>
      </c>
      <c r="AD4" s="88">
        <v>34.0</v>
      </c>
      <c r="AE4" s="88" t="s">
        <v>270</v>
      </c>
      <c r="AH4" s="87" t="s">
        <v>282</v>
      </c>
      <c r="AN4" s="88">
        <v>193322.0</v>
      </c>
      <c r="AO4" s="88">
        <v>36123.0</v>
      </c>
      <c r="AP4" s="88">
        <v>36123.0</v>
      </c>
      <c r="AQ4" s="88">
        <v>13.838</v>
      </c>
      <c r="AS4" s="88">
        <v>3101.0</v>
      </c>
      <c r="AT4" s="88">
        <v>485.0</v>
      </c>
      <c r="AU4" s="88">
        <v>6.394</v>
      </c>
      <c r="AV4" s="88">
        <v>48.224</v>
      </c>
      <c r="AW4" s="88" t="s">
        <v>280</v>
      </c>
      <c r="AX4" s="88">
        <v>12.266</v>
      </c>
      <c r="AY4" s="88">
        <v>4.0</v>
      </c>
      <c r="AZ4" s="88">
        <v>1.0</v>
      </c>
      <c r="BB4" s="88">
        <v>4.0</v>
      </c>
      <c r="BC4" s="88">
        <v>2.0</v>
      </c>
      <c r="BD4" s="88">
        <v>0.0</v>
      </c>
      <c r="BE4" s="88">
        <v>1.1</v>
      </c>
      <c r="BF4" s="88">
        <v>134.0</v>
      </c>
      <c r="BG4" s="88">
        <v>57.0</v>
      </c>
      <c r="BH4" s="88">
        <v>0.0</v>
      </c>
      <c r="BI4" s="88">
        <v>14.0</v>
      </c>
      <c r="BJ4" s="88">
        <v>9.0</v>
      </c>
      <c r="BK4" s="88">
        <v>0.0</v>
      </c>
      <c r="BP4" s="88" t="s">
        <v>289</v>
      </c>
      <c r="BQ4" s="88">
        <v>0.177</v>
      </c>
      <c r="BV4" s="88" t="s">
        <v>273</v>
      </c>
      <c r="BW4" s="88">
        <v>1.1</v>
      </c>
      <c r="CI4" s="87" t="s">
        <v>282</v>
      </c>
      <c r="CJ4" s="89">
        <v>46037.659224537034</v>
      </c>
    </row>
    <row r="5">
      <c r="A5" s="87" t="s">
        <v>290</v>
      </c>
      <c r="D5" s="88">
        <v>3.0</v>
      </c>
      <c r="E5" s="88" t="s">
        <v>291</v>
      </c>
      <c r="F5" s="88"/>
      <c r="G5" s="88" t="s">
        <v>261</v>
      </c>
      <c r="H5" s="88">
        <v>200.0</v>
      </c>
      <c r="I5" s="88" t="s">
        <v>262</v>
      </c>
      <c r="J5" s="88" t="s">
        <v>263</v>
      </c>
      <c r="L5" s="88" t="s">
        <v>292</v>
      </c>
      <c r="M5" s="88">
        <v>34.0</v>
      </c>
      <c r="N5" s="88">
        <v>306.0</v>
      </c>
      <c r="O5" s="88" t="s">
        <v>293</v>
      </c>
      <c r="P5" s="88">
        <v>176.0</v>
      </c>
      <c r="Q5" s="88">
        <v>1074.0</v>
      </c>
      <c r="R5" s="88" t="s">
        <v>293</v>
      </c>
      <c r="S5" s="88">
        <v>176.0</v>
      </c>
      <c r="T5" s="88">
        <v>1074.0</v>
      </c>
      <c r="V5" s="88">
        <v>0.0</v>
      </c>
      <c r="W5" s="88" t="s">
        <v>294</v>
      </c>
      <c r="X5" s="88">
        <v>35.0</v>
      </c>
      <c r="Z5" s="88">
        <v>0.0</v>
      </c>
      <c r="AA5" s="88" t="s">
        <v>295</v>
      </c>
      <c r="AB5" s="88">
        <v>19.0</v>
      </c>
      <c r="AC5" s="88" t="s">
        <v>296</v>
      </c>
      <c r="AD5" s="88">
        <v>34.0</v>
      </c>
      <c r="AE5" s="88" t="s">
        <v>270</v>
      </c>
      <c r="AH5" s="87" t="s">
        <v>290</v>
      </c>
      <c r="AN5" s="88">
        <v>178696.0</v>
      </c>
      <c r="AO5" s="88">
        <v>27242.0</v>
      </c>
      <c r="AP5" s="88">
        <v>27242.0</v>
      </c>
      <c r="AQ5" s="88">
        <v>10.436</v>
      </c>
      <c r="AS5" s="88">
        <v>784.0</v>
      </c>
      <c r="AT5" s="88">
        <v>120.0</v>
      </c>
      <c r="AU5" s="88">
        <v>6.533</v>
      </c>
      <c r="AV5" s="88">
        <v>41.471</v>
      </c>
      <c r="AW5" s="88" t="s">
        <v>280</v>
      </c>
      <c r="AX5" s="88">
        <v>4.847</v>
      </c>
      <c r="AY5" s="88">
        <v>1.0</v>
      </c>
      <c r="AZ5" s="88">
        <v>1.0</v>
      </c>
      <c r="BB5" s="88">
        <v>362.0</v>
      </c>
      <c r="BC5" s="88">
        <v>180.0</v>
      </c>
      <c r="BD5" s="88">
        <v>0.0</v>
      </c>
      <c r="BE5" s="88">
        <v>99.45</v>
      </c>
      <c r="BF5" s="88">
        <v>106.0</v>
      </c>
      <c r="BG5" s="88">
        <v>41.0</v>
      </c>
      <c r="BH5" s="88">
        <v>0.0</v>
      </c>
      <c r="BI5" s="88">
        <v>2.0</v>
      </c>
      <c r="BJ5" s="88">
        <v>2.0</v>
      </c>
      <c r="BK5" s="88">
        <v>0.0</v>
      </c>
      <c r="BP5" s="88" t="s">
        <v>297</v>
      </c>
      <c r="BQ5" s="88">
        <v>0.19</v>
      </c>
      <c r="BV5" s="88" t="s">
        <v>273</v>
      </c>
      <c r="BW5" s="88">
        <v>1.1</v>
      </c>
      <c r="BX5" s="88">
        <v>4.0</v>
      </c>
      <c r="BY5" s="88">
        <v>1.0</v>
      </c>
      <c r="BZ5" s="88">
        <v>0.33</v>
      </c>
      <c r="CA5" s="88">
        <v>0.0</v>
      </c>
      <c r="CB5" s="88">
        <v>12.0</v>
      </c>
      <c r="CC5" s="88">
        <v>0.0</v>
      </c>
      <c r="CI5" s="87" t="s">
        <v>290</v>
      </c>
      <c r="CJ5" s="89">
        <v>46037.658900462964</v>
      </c>
    </row>
    <row r="6">
      <c r="A6" s="87" t="s">
        <v>298</v>
      </c>
      <c r="D6" s="88">
        <v>15.0</v>
      </c>
      <c r="E6" s="88" t="s">
        <v>260</v>
      </c>
      <c r="F6" s="88"/>
      <c r="G6" s="88" t="s">
        <v>261</v>
      </c>
      <c r="H6" s="88">
        <v>200.0</v>
      </c>
      <c r="I6" s="88" t="s">
        <v>262</v>
      </c>
      <c r="J6" s="88" t="s">
        <v>263</v>
      </c>
      <c r="L6" s="88" t="s">
        <v>299</v>
      </c>
      <c r="M6" s="88">
        <v>26.0</v>
      </c>
      <c r="N6" s="88">
        <v>241.0</v>
      </c>
      <c r="O6" s="88" t="s">
        <v>300</v>
      </c>
      <c r="P6" s="88">
        <v>163.0</v>
      </c>
      <c r="Q6" s="88">
        <v>1005.0</v>
      </c>
      <c r="R6" s="88" t="s">
        <v>300</v>
      </c>
      <c r="S6" s="88">
        <v>163.0</v>
      </c>
      <c r="T6" s="88">
        <v>1005.0</v>
      </c>
      <c r="V6" s="88">
        <v>0.0</v>
      </c>
      <c r="W6" s="88" t="s">
        <v>301</v>
      </c>
      <c r="X6" s="88">
        <v>35.0</v>
      </c>
      <c r="Z6" s="88">
        <v>0.0</v>
      </c>
      <c r="AA6" s="88" t="s">
        <v>302</v>
      </c>
      <c r="AB6" s="88">
        <v>28.0</v>
      </c>
      <c r="AC6" s="88" t="s">
        <v>303</v>
      </c>
      <c r="AD6" s="88">
        <v>12.0</v>
      </c>
      <c r="AE6" s="88" t="s">
        <v>270</v>
      </c>
      <c r="AH6" s="87" t="s">
        <v>298</v>
      </c>
      <c r="AN6" s="88">
        <v>142645.0</v>
      </c>
      <c r="AO6" s="88">
        <v>24844.0</v>
      </c>
      <c r="AP6" s="88">
        <v>24844.0</v>
      </c>
      <c r="AQ6" s="88">
        <v>9.517</v>
      </c>
      <c r="AS6" s="88">
        <v>479.0</v>
      </c>
      <c r="AT6" s="88">
        <v>73.0</v>
      </c>
      <c r="AU6" s="88">
        <v>6.562</v>
      </c>
      <c r="AV6" s="88">
        <v>56.231</v>
      </c>
      <c r="AW6" s="88" t="s">
        <v>304</v>
      </c>
      <c r="AX6" s="88">
        <v>4.447</v>
      </c>
      <c r="AY6" s="88">
        <v>1.0</v>
      </c>
      <c r="AZ6" s="88">
        <v>1.0</v>
      </c>
      <c r="BB6" s="88">
        <v>541.0</v>
      </c>
      <c r="BC6" s="88">
        <v>180.0</v>
      </c>
      <c r="BD6" s="88">
        <v>0.0</v>
      </c>
      <c r="BE6" s="88">
        <v>99.45</v>
      </c>
      <c r="BF6" s="88">
        <v>94.0</v>
      </c>
      <c r="BG6" s="88">
        <v>41.0</v>
      </c>
      <c r="BH6" s="88">
        <v>0.0</v>
      </c>
      <c r="BI6" s="88">
        <v>2.0</v>
      </c>
      <c r="BJ6" s="88">
        <v>2.0</v>
      </c>
      <c r="BK6" s="88">
        <v>0.0</v>
      </c>
      <c r="BP6" s="88" t="s">
        <v>305</v>
      </c>
      <c r="BQ6" s="88">
        <v>0.131</v>
      </c>
      <c r="BV6" s="88" t="s">
        <v>273</v>
      </c>
      <c r="BW6" s="88">
        <v>1.1</v>
      </c>
      <c r="BX6" s="88">
        <v>23.0</v>
      </c>
      <c r="BY6" s="88">
        <v>7.0</v>
      </c>
      <c r="BZ6" s="88">
        <v>0.47</v>
      </c>
      <c r="CA6" s="88">
        <v>0.0</v>
      </c>
      <c r="CB6" s="88">
        <v>71.0</v>
      </c>
      <c r="CC6" s="88">
        <v>0.0</v>
      </c>
      <c r="CI6" s="87" t="s">
        <v>298</v>
      </c>
      <c r="CJ6" s="89">
        <v>46037.65888888889</v>
      </c>
    </row>
    <row r="7">
      <c r="A7" s="87" t="s">
        <v>306</v>
      </c>
      <c r="D7" s="88">
        <v>1.0</v>
      </c>
      <c r="E7" s="88" t="s">
        <v>260</v>
      </c>
      <c r="F7" s="88"/>
      <c r="G7" s="88" t="s">
        <v>261</v>
      </c>
      <c r="H7" s="88">
        <v>200.0</v>
      </c>
      <c r="I7" s="88" t="s">
        <v>262</v>
      </c>
      <c r="J7" s="88" t="s">
        <v>263</v>
      </c>
      <c r="L7" s="88" t="s">
        <v>307</v>
      </c>
      <c r="M7" s="88">
        <v>72.0</v>
      </c>
      <c r="N7" s="88">
        <v>658.0</v>
      </c>
      <c r="O7" s="88" t="s">
        <v>308</v>
      </c>
      <c r="P7" s="88">
        <v>215.0</v>
      </c>
      <c r="Q7" s="88">
        <v>1301.0</v>
      </c>
      <c r="R7" s="88" t="s">
        <v>309</v>
      </c>
      <c r="S7" s="88">
        <v>111.0</v>
      </c>
      <c r="T7" s="88">
        <v>680.0</v>
      </c>
      <c r="V7" s="88">
        <v>0.0</v>
      </c>
      <c r="W7" s="88" t="s">
        <v>310</v>
      </c>
      <c r="X7" s="88">
        <v>59.0</v>
      </c>
      <c r="Z7" s="88">
        <v>0.0</v>
      </c>
      <c r="AA7" s="88" t="s">
        <v>287</v>
      </c>
      <c r="AB7" s="88">
        <v>16.0</v>
      </c>
      <c r="AC7" s="88" t="s">
        <v>288</v>
      </c>
      <c r="AD7" s="88">
        <v>34.0</v>
      </c>
      <c r="AE7" s="88" t="s">
        <v>270</v>
      </c>
      <c r="AH7" s="87" t="s">
        <v>306</v>
      </c>
      <c r="AN7" s="88">
        <v>189610.0</v>
      </c>
      <c r="AO7" s="88">
        <v>34991.0</v>
      </c>
      <c r="AP7" s="88">
        <v>34991.0</v>
      </c>
      <c r="AQ7" s="88">
        <v>13.404</v>
      </c>
      <c r="AS7" s="88">
        <v>2763.0</v>
      </c>
      <c r="AT7" s="88">
        <v>438.0</v>
      </c>
      <c r="AU7" s="88">
        <v>6.308</v>
      </c>
      <c r="AV7" s="88">
        <v>43.878</v>
      </c>
      <c r="AW7" s="88" t="s">
        <v>280</v>
      </c>
      <c r="AX7" s="88">
        <v>11.435</v>
      </c>
      <c r="AY7" s="88">
        <v>5.0</v>
      </c>
      <c r="AZ7" s="88">
        <v>1.0</v>
      </c>
      <c r="BB7" s="88">
        <v>4.0</v>
      </c>
      <c r="BC7" s="88">
        <v>2.0</v>
      </c>
      <c r="BD7" s="88">
        <v>0.0</v>
      </c>
      <c r="BE7" s="88">
        <v>1.1</v>
      </c>
      <c r="BF7" s="88">
        <v>132.0</v>
      </c>
      <c r="BG7" s="88">
        <v>55.0</v>
      </c>
      <c r="BH7" s="88">
        <v>0.0</v>
      </c>
      <c r="BI7" s="88">
        <v>13.0</v>
      </c>
      <c r="BJ7" s="88">
        <v>8.0</v>
      </c>
      <c r="BK7" s="88">
        <v>0.0</v>
      </c>
      <c r="BP7" s="88" t="s">
        <v>311</v>
      </c>
      <c r="BQ7" s="88">
        <v>0.144</v>
      </c>
      <c r="BV7" s="88" t="s">
        <v>273</v>
      </c>
      <c r="BW7" s="88">
        <v>1.1</v>
      </c>
      <c r="BX7" s="88">
        <v>4.0</v>
      </c>
      <c r="BY7" s="88">
        <v>1.0</v>
      </c>
      <c r="BZ7" s="88">
        <v>1.0</v>
      </c>
      <c r="CA7" s="88">
        <v>0.0</v>
      </c>
      <c r="CB7" s="88">
        <v>11.0</v>
      </c>
      <c r="CC7" s="88">
        <v>0.0</v>
      </c>
      <c r="CI7" s="87" t="s">
        <v>306</v>
      </c>
      <c r="CJ7" s="89">
        <v>46037.65939814815</v>
      </c>
    </row>
    <row r="8">
      <c r="A8" s="87" t="s">
        <v>312</v>
      </c>
      <c r="D8" s="88">
        <v>4.0</v>
      </c>
      <c r="E8" s="88" t="s">
        <v>313</v>
      </c>
      <c r="F8" s="88"/>
      <c r="G8" s="88" t="s">
        <v>261</v>
      </c>
      <c r="H8" s="88">
        <v>200.0</v>
      </c>
      <c r="I8" s="88" t="s">
        <v>262</v>
      </c>
      <c r="J8" s="88" t="s">
        <v>263</v>
      </c>
      <c r="L8" s="88" t="s">
        <v>314</v>
      </c>
      <c r="M8" s="88">
        <v>43.0</v>
      </c>
      <c r="N8" s="88">
        <v>387.0</v>
      </c>
      <c r="O8" s="88" t="s">
        <v>315</v>
      </c>
      <c r="P8" s="88">
        <v>162.0</v>
      </c>
      <c r="Q8" s="88">
        <v>1049.0</v>
      </c>
      <c r="R8" s="88" t="s">
        <v>315</v>
      </c>
      <c r="S8" s="88">
        <v>162.0</v>
      </c>
      <c r="T8" s="88">
        <v>1049.0</v>
      </c>
      <c r="V8" s="88">
        <v>0.0</v>
      </c>
      <c r="W8" s="88" t="s">
        <v>316</v>
      </c>
      <c r="X8" s="88">
        <v>27.0</v>
      </c>
      <c r="Z8" s="88">
        <v>0.0</v>
      </c>
      <c r="AA8" s="88" t="s">
        <v>288</v>
      </c>
      <c r="AB8" s="88">
        <v>34.0</v>
      </c>
      <c r="AC8" s="88" t="s">
        <v>317</v>
      </c>
      <c r="AD8" s="88">
        <v>49.0</v>
      </c>
      <c r="AE8" s="88" t="s">
        <v>270</v>
      </c>
      <c r="AH8" s="87" t="s">
        <v>312</v>
      </c>
      <c r="AN8" s="88">
        <v>235843.0</v>
      </c>
      <c r="AO8" s="88">
        <v>32647.0</v>
      </c>
      <c r="AP8" s="88">
        <v>32647.0</v>
      </c>
      <c r="AQ8" s="88">
        <v>12.506</v>
      </c>
      <c r="AS8" s="88">
        <v>1334.0</v>
      </c>
      <c r="AT8" s="88">
        <v>220.0</v>
      </c>
      <c r="AU8" s="88">
        <v>6.064</v>
      </c>
      <c r="AV8" s="88">
        <v>51.013</v>
      </c>
      <c r="AW8" s="88" t="s">
        <v>304</v>
      </c>
      <c r="AX8" s="88">
        <v>5.023</v>
      </c>
      <c r="AY8" s="88">
        <v>1.0</v>
      </c>
      <c r="AZ8" s="88">
        <v>1.0</v>
      </c>
      <c r="BB8" s="88">
        <v>363.0</v>
      </c>
      <c r="BC8" s="88">
        <v>180.0</v>
      </c>
      <c r="BD8" s="88">
        <v>0.0</v>
      </c>
      <c r="BE8" s="88">
        <v>99.45</v>
      </c>
      <c r="BF8" s="88">
        <v>108.0</v>
      </c>
      <c r="BG8" s="88">
        <v>41.0</v>
      </c>
      <c r="BH8" s="88">
        <v>0.0</v>
      </c>
      <c r="BI8" s="88">
        <v>12.0</v>
      </c>
      <c r="BJ8" s="88">
        <v>7.0</v>
      </c>
      <c r="BK8" s="88">
        <v>0.0</v>
      </c>
      <c r="BP8" s="88" t="s">
        <v>318</v>
      </c>
      <c r="BQ8" s="88">
        <v>0.207</v>
      </c>
      <c r="BV8" s="88" t="s">
        <v>273</v>
      </c>
      <c r="BW8" s="88">
        <v>1.1</v>
      </c>
      <c r="BX8" s="88">
        <v>6.0</v>
      </c>
      <c r="BY8" s="88">
        <v>2.0</v>
      </c>
      <c r="BZ8" s="88">
        <v>0.5</v>
      </c>
      <c r="CA8" s="88">
        <v>0.0</v>
      </c>
      <c r="CB8" s="88">
        <v>18.0</v>
      </c>
      <c r="CC8" s="88">
        <v>0.0</v>
      </c>
      <c r="CI8" s="87" t="s">
        <v>312</v>
      </c>
      <c r="CJ8" s="89">
        <v>46037.65888888889</v>
      </c>
    </row>
    <row r="9">
      <c r="A9" s="87" t="s">
        <v>319</v>
      </c>
      <c r="D9" s="88">
        <v>3.0</v>
      </c>
      <c r="E9" s="88" t="s">
        <v>320</v>
      </c>
      <c r="F9" s="90" t="s">
        <v>321</v>
      </c>
      <c r="G9" s="88" t="s">
        <v>261</v>
      </c>
      <c r="H9" s="88">
        <v>200.0</v>
      </c>
      <c r="I9" s="88" t="s">
        <v>262</v>
      </c>
      <c r="J9" s="88" t="s">
        <v>263</v>
      </c>
      <c r="L9" s="88" t="s">
        <v>322</v>
      </c>
      <c r="M9" s="88">
        <v>56.0</v>
      </c>
      <c r="N9" s="88">
        <v>512.0</v>
      </c>
      <c r="O9" s="88" t="s">
        <v>323</v>
      </c>
      <c r="P9" s="88">
        <v>173.0</v>
      </c>
      <c r="Q9" s="88">
        <v>1036.0</v>
      </c>
      <c r="R9" s="88" t="s">
        <v>323</v>
      </c>
      <c r="S9" s="88">
        <v>173.0</v>
      </c>
      <c r="T9" s="88">
        <v>1036.0</v>
      </c>
      <c r="V9" s="88">
        <v>0.0</v>
      </c>
      <c r="W9" s="88" t="s">
        <v>324</v>
      </c>
      <c r="X9" s="88">
        <v>27.0</v>
      </c>
      <c r="Z9" s="88">
        <v>0.0</v>
      </c>
      <c r="AA9" s="88" t="s">
        <v>288</v>
      </c>
      <c r="AB9" s="88">
        <v>34.0</v>
      </c>
      <c r="AC9" s="88" t="s">
        <v>325</v>
      </c>
      <c r="AD9" s="88">
        <v>41.0</v>
      </c>
      <c r="AE9" s="88" t="s">
        <v>270</v>
      </c>
      <c r="AH9" s="87" t="s">
        <v>319</v>
      </c>
      <c r="AN9" s="88">
        <v>240697.0</v>
      </c>
      <c r="AO9" s="88">
        <v>34485.0</v>
      </c>
      <c r="AP9" s="88">
        <v>34485.0</v>
      </c>
      <c r="AQ9" s="88">
        <v>13.211</v>
      </c>
      <c r="AS9" s="88">
        <v>1674.0</v>
      </c>
      <c r="AT9" s="88">
        <v>268.0</v>
      </c>
      <c r="AU9" s="88">
        <v>6.246</v>
      </c>
      <c r="AV9" s="88">
        <v>48.528</v>
      </c>
      <c r="AW9" s="88" t="s">
        <v>280</v>
      </c>
      <c r="AX9" s="88">
        <v>5.915</v>
      </c>
      <c r="AY9" s="88">
        <v>1.0</v>
      </c>
      <c r="AZ9" s="88">
        <v>1.0</v>
      </c>
      <c r="BB9" s="88">
        <v>363.0</v>
      </c>
      <c r="BC9" s="88">
        <v>180.0</v>
      </c>
      <c r="BD9" s="88">
        <v>0.0</v>
      </c>
      <c r="BE9" s="88">
        <v>99.45</v>
      </c>
      <c r="BF9" s="88">
        <v>108.0</v>
      </c>
      <c r="BG9" s="88">
        <v>41.0</v>
      </c>
      <c r="BH9" s="88">
        <v>0.0</v>
      </c>
      <c r="BI9" s="88">
        <v>12.0</v>
      </c>
      <c r="BJ9" s="88">
        <v>7.0</v>
      </c>
      <c r="BK9" s="88">
        <v>0.0</v>
      </c>
      <c r="BP9" s="88" t="s">
        <v>326</v>
      </c>
      <c r="BQ9" s="88">
        <v>0.14</v>
      </c>
      <c r="BV9" s="88" t="s">
        <v>273</v>
      </c>
      <c r="BW9" s="88">
        <v>1.1</v>
      </c>
      <c r="BX9" s="88">
        <v>3.0</v>
      </c>
      <c r="BY9" s="88">
        <v>0.0</v>
      </c>
      <c r="BZ9" s="88">
        <v>0.0</v>
      </c>
      <c r="CA9" s="88">
        <v>0.0</v>
      </c>
      <c r="CB9" s="88">
        <v>9.0</v>
      </c>
      <c r="CC9" s="88">
        <v>0.0</v>
      </c>
      <c r="CI9" s="87" t="s">
        <v>319</v>
      </c>
      <c r="CJ9" s="89">
        <v>46037.65892361111</v>
      </c>
    </row>
    <row r="10">
      <c r="A10" s="87" t="s">
        <v>327</v>
      </c>
      <c r="D10" s="88">
        <v>13.0</v>
      </c>
      <c r="E10" s="88" t="s">
        <v>328</v>
      </c>
      <c r="F10" s="90" t="s">
        <v>321</v>
      </c>
      <c r="G10" s="88" t="s">
        <v>261</v>
      </c>
      <c r="H10" s="88">
        <v>200.0</v>
      </c>
      <c r="I10" s="88" t="s">
        <v>262</v>
      </c>
      <c r="J10" s="88" t="s">
        <v>263</v>
      </c>
      <c r="L10" s="88" t="s">
        <v>329</v>
      </c>
      <c r="M10" s="88">
        <v>52.0</v>
      </c>
      <c r="N10" s="88">
        <v>477.0</v>
      </c>
      <c r="O10" s="88" t="s">
        <v>330</v>
      </c>
      <c r="P10" s="88">
        <v>257.0</v>
      </c>
      <c r="Q10" s="88">
        <v>1537.0</v>
      </c>
      <c r="R10" s="88" t="s">
        <v>331</v>
      </c>
      <c r="S10" s="88">
        <v>166.0</v>
      </c>
      <c r="T10" s="88">
        <v>1005.0</v>
      </c>
      <c r="V10" s="88">
        <v>0.0</v>
      </c>
      <c r="W10" s="88" t="s">
        <v>332</v>
      </c>
      <c r="X10" s="88">
        <v>27.0</v>
      </c>
      <c r="Z10" s="88">
        <v>0.0</v>
      </c>
      <c r="AA10" s="88" t="s">
        <v>288</v>
      </c>
      <c r="AB10" s="88">
        <v>34.0</v>
      </c>
      <c r="AC10" s="88" t="s">
        <v>333</v>
      </c>
      <c r="AD10" s="88">
        <v>33.0</v>
      </c>
      <c r="AE10" s="88" t="s">
        <v>270</v>
      </c>
      <c r="AH10" s="87" t="s">
        <v>327</v>
      </c>
      <c r="AN10" s="88">
        <v>240260.0</v>
      </c>
      <c r="AO10" s="88">
        <v>33815.0</v>
      </c>
      <c r="AP10" s="88">
        <v>33815.0</v>
      </c>
      <c r="AQ10" s="88">
        <v>12.954</v>
      </c>
      <c r="AS10" s="88">
        <v>1586.0</v>
      </c>
      <c r="AT10" s="88">
        <v>249.0</v>
      </c>
      <c r="AU10" s="88">
        <v>6.369</v>
      </c>
      <c r="AV10" s="88">
        <v>52.827</v>
      </c>
      <c r="AW10" s="88" t="s">
        <v>304</v>
      </c>
      <c r="AX10" s="88">
        <v>5.59</v>
      </c>
      <c r="AY10" s="88">
        <v>1.0</v>
      </c>
      <c r="AZ10" s="88">
        <v>1.0</v>
      </c>
      <c r="BB10" s="88">
        <v>647.0</v>
      </c>
      <c r="BC10" s="88">
        <v>180.0</v>
      </c>
      <c r="BD10" s="88">
        <v>0.0</v>
      </c>
      <c r="BE10" s="88">
        <v>99.45</v>
      </c>
      <c r="BF10" s="88">
        <v>108.0</v>
      </c>
      <c r="BG10" s="88">
        <v>41.0</v>
      </c>
      <c r="BH10" s="88">
        <v>0.0</v>
      </c>
      <c r="BI10" s="88">
        <v>12.0</v>
      </c>
      <c r="BJ10" s="88">
        <v>7.0</v>
      </c>
      <c r="BK10" s="88">
        <v>0.0</v>
      </c>
      <c r="BP10" s="88" t="s">
        <v>334</v>
      </c>
      <c r="BQ10" s="88">
        <v>0.225</v>
      </c>
      <c r="BV10" s="88" t="s">
        <v>273</v>
      </c>
      <c r="BW10" s="88">
        <v>1.1</v>
      </c>
      <c r="BX10" s="88">
        <v>28.0</v>
      </c>
      <c r="BY10" s="88">
        <v>5.0</v>
      </c>
      <c r="BZ10" s="88">
        <v>0.38</v>
      </c>
      <c r="CA10" s="88">
        <v>0.0</v>
      </c>
      <c r="CB10" s="88">
        <v>75.0</v>
      </c>
      <c r="CC10" s="88">
        <v>0.0</v>
      </c>
      <c r="CI10" s="87" t="s">
        <v>327</v>
      </c>
      <c r="CJ10" s="89">
        <v>46037.65892361111</v>
      </c>
    </row>
    <row r="11">
      <c r="A11" s="87" t="s">
        <v>335</v>
      </c>
      <c r="B11" s="88" t="s">
        <v>336</v>
      </c>
      <c r="C11" s="88" t="s">
        <v>337</v>
      </c>
      <c r="D11" s="88">
        <v>4.0</v>
      </c>
      <c r="E11" s="88" t="s">
        <v>338</v>
      </c>
      <c r="F11" s="87" t="s">
        <v>339</v>
      </c>
      <c r="G11" s="88" t="s">
        <v>261</v>
      </c>
      <c r="H11" s="88">
        <v>200.0</v>
      </c>
      <c r="I11" s="88" t="s">
        <v>262</v>
      </c>
      <c r="J11" s="88" t="s">
        <v>263</v>
      </c>
      <c r="L11" s="88" t="s">
        <v>340</v>
      </c>
      <c r="M11" s="88">
        <v>51.0</v>
      </c>
      <c r="N11" s="88">
        <v>458.0</v>
      </c>
      <c r="O11" s="88" t="s">
        <v>323</v>
      </c>
      <c r="P11" s="88">
        <v>173.0</v>
      </c>
      <c r="Q11" s="88">
        <v>1036.0</v>
      </c>
      <c r="R11" s="88" t="s">
        <v>341</v>
      </c>
      <c r="S11" s="88">
        <v>102.0</v>
      </c>
      <c r="T11" s="88">
        <v>637.0</v>
      </c>
      <c r="V11" s="88">
        <v>0.0</v>
      </c>
      <c r="W11" s="88" t="s">
        <v>342</v>
      </c>
      <c r="X11" s="88">
        <v>57.0</v>
      </c>
      <c r="Z11" s="88">
        <v>0.0</v>
      </c>
      <c r="AA11" s="88" t="s">
        <v>287</v>
      </c>
      <c r="AB11" s="88">
        <v>16.0</v>
      </c>
      <c r="AC11" s="88" t="s">
        <v>288</v>
      </c>
      <c r="AD11" s="88">
        <v>34.0</v>
      </c>
      <c r="AE11" s="88" t="s">
        <v>270</v>
      </c>
      <c r="AH11" s="87" t="s">
        <v>335</v>
      </c>
      <c r="AN11" s="88">
        <v>188275.0</v>
      </c>
      <c r="AO11" s="88">
        <v>33973.0</v>
      </c>
      <c r="AP11" s="88">
        <v>33973.0</v>
      </c>
      <c r="AQ11" s="88">
        <v>13.014</v>
      </c>
      <c r="AS11" s="88">
        <v>2302.0</v>
      </c>
      <c r="AT11" s="88">
        <v>362.0</v>
      </c>
      <c r="AU11" s="88">
        <v>6.359</v>
      </c>
      <c r="AV11" s="88">
        <v>36.362</v>
      </c>
      <c r="AW11" s="88" t="s">
        <v>280</v>
      </c>
      <c r="AX11" s="88">
        <v>10.129</v>
      </c>
      <c r="AY11" s="88">
        <v>2.0</v>
      </c>
      <c r="AZ11" s="88">
        <v>1.0</v>
      </c>
      <c r="BB11" s="88">
        <v>7.0</v>
      </c>
      <c r="BC11" s="88">
        <v>5.0</v>
      </c>
      <c r="BD11" s="88">
        <v>0.0</v>
      </c>
      <c r="BE11" s="88">
        <v>2.76</v>
      </c>
      <c r="BF11" s="88">
        <v>131.0</v>
      </c>
      <c r="BG11" s="88">
        <v>54.0</v>
      </c>
      <c r="BH11" s="88">
        <v>0.0</v>
      </c>
      <c r="BI11" s="88">
        <v>22.0</v>
      </c>
      <c r="BJ11" s="88">
        <v>11.0</v>
      </c>
      <c r="BK11" s="88">
        <v>0.0</v>
      </c>
      <c r="BP11" s="88" t="s">
        <v>343</v>
      </c>
      <c r="BQ11" s="88">
        <v>0.182</v>
      </c>
      <c r="BV11" s="88" t="s">
        <v>273</v>
      </c>
      <c r="BW11" s="88">
        <v>1.1</v>
      </c>
      <c r="BX11" s="88">
        <v>8.0</v>
      </c>
      <c r="BY11" s="88">
        <v>3.0</v>
      </c>
      <c r="BZ11" s="88">
        <v>0.75</v>
      </c>
      <c r="CA11" s="88">
        <v>0.0</v>
      </c>
      <c r="CB11" s="88">
        <v>19.0</v>
      </c>
      <c r="CC11" s="88">
        <v>0.0</v>
      </c>
      <c r="CI11" s="87" t="s">
        <v>335</v>
      </c>
      <c r="CJ11" s="89">
        <v>46037.65896990741</v>
      </c>
    </row>
    <row r="12">
      <c r="A12" s="87" t="s">
        <v>344</v>
      </c>
      <c r="B12" s="88" t="s">
        <v>336</v>
      </c>
      <c r="C12" s="88" t="s">
        <v>337</v>
      </c>
      <c r="E12" s="88" t="s">
        <v>345</v>
      </c>
      <c r="F12" s="90" t="s">
        <v>321</v>
      </c>
      <c r="G12" s="88" t="s">
        <v>261</v>
      </c>
      <c r="H12" s="88">
        <v>200.0</v>
      </c>
      <c r="I12" s="88" t="s">
        <v>262</v>
      </c>
      <c r="J12" s="88" t="s">
        <v>263</v>
      </c>
      <c r="L12" s="88" t="s">
        <v>346</v>
      </c>
      <c r="M12" s="88">
        <v>75.0</v>
      </c>
      <c r="N12" s="88">
        <v>694.0</v>
      </c>
      <c r="O12" s="88" t="s">
        <v>347</v>
      </c>
      <c r="P12" s="88">
        <v>150.0</v>
      </c>
      <c r="Q12" s="88">
        <v>909.0</v>
      </c>
      <c r="R12" s="88" t="s">
        <v>348</v>
      </c>
      <c r="S12" s="88">
        <v>134.0</v>
      </c>
      <c r="T12" s="88">
        <v>799.0</v>
      </c>
      <c r="V12" s="88">
        <v>0.0</v>
      </c>
      <c r="W12" s="88" t="s">
        <v>349</v>
      </c>
      <c r="X12" s="88">
        <v>52.0</v>
      </c>
      <c r="Z12" s="88">
        <v>0.0</v>
      </c>
      <c r="AA12" s="88" t="s">
        <v>287</v>
      </c>
      <c r="AB12" s="88">
        <v>16.0</v>
      </c>
      <c r="AC12" s="88" t="s">
        <v>288</v>
      </c>
      <c r="AD12" s="88">
        <v>34.0</v>
      </c>
      <c r="AE12" s="88" t="s">
        <v>270</v>
      </c>
      <c r="AH12" s="87" t="s">
        <v>344</v>
      </c>
      <c r="AN12" s="88">
        <v>191236.0</v>
      </c>
      <c r="AO12" s="88">
        <v>34641.0</v>
      </c>
      <c r="AP12" s="88">
        <v>34641.0</v>
      </c>
      <c r="AQ12" s="88">
        <v>13.27</v>
      </c>
      <c r="AS12" s="88">
        <v>2553.0</v>
      </c>
      <c r="AT12" s="88">
        <v>393.0</v>
      </c>
      <c r="AU12" s="88">
        <v>6.496</v>
      </c>
      <c r="AV12" s="88">
        <v>40.22</v>
      </c>
      <c r="AW12" s="88" t="s">
        <v>280</v>
      </c>
      <c r="AX12" s="88">
        <v>10.873</v>
      </c>
      <c r="AY12" s="88">
        <v>4.0</v>
      </c>
      <c r="AZ12" s="88">
        <v>1.0</v>
      </c>
      <c r="BB12" s="88">
        <v>4.0</v>
      </c>
      <c r="BC12" s="88">
        <v>2.0</v>
      </c>
      <c r="BD12" s="88">
        <v>0.0</v>
      </c>
      <c r="BE12" s="88">
        <v>1.1</v>
      </c>
      <c r="BF12" s="88">
        <v>131.0</v>
      </c>
      <c r="BG12" s="88">
        <v>54.0</v>
      </c>
      <c r="BH12" s="88">
        <v>0.0</v>
      </c>
      <c r="BI12" s="88">
        <v>27.0</v>
      </c>
      <c r="BJ12" s="88">
        <v>14.0</v>
      </c>
      <c r="BK12" s="88">
        <v>0.0</v>
      </c>
      <c r="BP12" s="88" t="s">
        <v>350</v>
      </c>
      <c r="BQ12" s="88">
        <v>0.128</v>
      </c>
      <c r="BV12" s="88" t="s">
        <v>273</v>
      </c>
      <c r="BW12" s="88">
        <v>1.1</v>
      </c>
      <c r="CI12" s="87" t="s">
        <v>344</v>
      </c>
      <c r="CJ12" s="89">
        <v>46037.659212962964</v>
      </c>
    </row>
    <row r="13">
      <c r="A13" s="87" t="s">
        <v>351</v>
      </c>
      <c r="B13" s="88" t="s">
        <v>336</v>
      </c>
      <c r="C13" s="88" t="s">
        <v>337</v>
      </c>
      <c r="E13" s="88" t="s">
        <v>345</v>
      </c>
      <c r="F13" s="90" t="s">
        <v>321</v>
      </c>
      <c r="G13" s="88" t="s">
        <v>261</v>
      </c>
      <c r="H13" s="88">
        <v>200.0</v>
      </c>
      <c r="I13" s="88" t="s">
        <v>262</v>
      </c>
      <c r="J13" s="88" t="s">
        <v>263</v>
      </c>
      <c r="L13" s="88" t="s">
        <v>352</v>
      </c>
      <c r="M13" s="88">
        <v>58.0</v>
      </c>
      <c r="N13" s="88">
        <v>534.0</v>
      </c>
      <c r="O13" s="88" t="s">
        <v>353</v>
      </c>
      <c r="P13" s="88">
        <v>164.0</v>
      </c>
      <c r="Q13" s="88">
        <v>1021.0</v>
      </c>
      <c r="R13" s="88" t="s">
        <v>354</v>
      </c>
      <c r="S13" s="88">
        <v>124.0</v>
      </c>
      <c r="T13" s="88">
        <v>769.0</v>
      </c>
      <c r="V13" s="88">
        <v>0.0</v>
      </c>
      <c r="W13" s="88" t="s">
        <v>355</v>
      </c>
      <c r="X13" s="88">
        <v>63.0</v>
      </c>
      <c r="Z13" s="88">
        <v>0.0</v>
      </c>
      <c r="AA13" s="88" t="s">
        <v>287</v>
      </c>
      <c r="AB13" s="88">
        <v>16.0</v>
      </c>
      <c r="AC13" s="88" t="s">
        <v>288</v>
      </c>
      <c r="AD13" s="88">
        <v>34.0</v>
      </c>
      <c r="AE13" s="88" t="s">
        <v>270</v>
      </c>
      <c r="AH13" s="87" t="s">
        <v>351</v>
      </c>
      <c r="AN13" s="88">
        <v>191600.0</v>
      </c>
      <c r="AO13" s="88">
        <v>34657.0</v>
      </c>
      <c r="AP13" s="88">
        <v>34657.0</v>
      </c>
      <c r="AQ13" s="88">
        <v>13.276</v>
      </c>
      <c r="AS13" s="88">
        <v>2585.0</v>
      </c>
      <c r="AT13" s="88">
        <v>404.0</v>
      </c>
      <c r="AU13" s="88">
        <v>6.399</v>
      </c>
      <c r="AV13" s="88">
        <v>33.791</v>
      </c>
      <c r="AW13" s="88" t="s">
        <v>280</v>
      </c>
      <c r="AX13" s="88">
        <v>11.113</v>
      </c>
      <c r="AY13" s="88">
        <v>4.0</v>
      </c>
      <c r="AZ13" s="88">
        <v>1.0</v>
      </c>
      <c r="BB13" s="88">
        <v>4.0</v>
      </c>
      <c r="BC13" s="88">
        <v>2.0</v>
      </c>
      <c r="BD13" s="88">
        <v>0.0</v>
      </c>
      <c r="BE13" s="88">
        <v>1.1</v>
      </c>
      <c r="BF13" s="88">
        <v>132.0</v>
      </c>
      <c r="BG13" s="88">
        <v>55.0</v>
      </c>
      <c r="BH13" s="88">
        <v>0.0</v>
      </c>
      <c r="BI13" s="88">
        <v>25.0</v>
      </c>
      <c r="BJ13" s="88">
        <v>14.0</v>
      </c>
      <c r="BK13" s="88">
        <v>0.0</v>
      </c>
      <c r="BP13" s="88" t="s">
        <v>356</v>
      </c>
      <c r="BQ13" s="88">
        <v>0.144</v>
      </c>
      <c r="BV13" s="88" t="s">
        <v>273</v>
      </c>
      <c r="BW13" s="88">
        <v>1.1</v>
      </c>
      <c r="CI13" s="87" t="s">
        <v>351</v>
      </c>
      <c r="CJ13" s="89">
        <v>46037.65928240741</v>
      </c>
    </row>
    <row r="14">
      <c r="A14" s="87" t="s">
        <v>357</v>
      </c>
      <c r="B14" s="88" t="s">
        <v>336</v>
      </c>
      <c r="C14" s="88" t="s">
        <v>337</v>
      </c>
      <c r="E14" s="88" t="s">
        <v>345</v>
      </c>
      <c r="F14" s="90" t="s">
        <v>321</v>
      </c>
      <c r="G14" s="88" t="s">
        <v>261</v>
      </c>
      <c r="H14" s="88">
        <v>200.0</v>
      </c>
      <c r="I14" s="88" t="s">
        <v>262</v>
      </c>
      <c r="J14" s="88" t="s">
        <v>263</v>
      </c>
      <c r="L14" s="88" t="s">
        <v>358</v>
      </c>
      <c r="M14" s="88">
        <v>69.0</v>
      </c>
      <c r="N14" s="88">
        <v>617.0</v>
      </c>
      <c r="O14" s="88" t="s">
        <v>359</v>
      </c>
      <c r="P14" s="88">
        <v>166.0</v>
      </c>
      <c r="Q14" s="88">
        <v>978.0</v>
      </c>
      <c r="R14" s="88" t="s">
        <v>360</v>
      </c>
      <c r="S14" s="88">
        <v>109.0</v>
      </c>
      <c r="T14" s="88">
        <v>658.0</v>
      </c>
      <c r="V14" s="88">
        <v>0.0</v>
      </c>
      <c r="W14" s="88" t="s">
        <v>361</v>
      </c>
      <c r="X14" s="88">
        <v>60.0</v>
      </c>
      <c r="Z14" s="88">
        <v>0.0</v>
      </c>
      <c r="AA14" s="88" t="s">
        <v>287</v>
      </c>
      <c r="AB14" s="88">
        <v>16.0</v>
      </c>
      <c r="AC14" s="88" t="s">
        <v>288</v>
      </c>
      <c r="AD14" s="88">
        <v>34.0</v>
      </c>
      <c r="AE14" s="88" t="s">
        <v>270</v>
      </c>
      <c r="AH14" s="87" t="s">
        <v>357</v>
      </c>
      <c r="AN14" s="88">
        <v>189191.0</v>
      </c>
      <c r="AO14" s="88">
        <v>34100.0</v>
      </c>
      <c r="AP14" s="88">
        <v>34100.0</v>
      </c>
      <c r="AQ14" s="88">
        <v>13.063</v>
      </c>
      <c r="AS14" s="88">
        <v>2417.0</v>
      </c>
      <c r="AT14" s="88">
        <v>366.0</v>
      </c>
      <c r="AU14" s="88">
        <v>6.604</v>
      </c>
      <c r="AV14" s="88">
        <v>42.658</v>
      </c>
      <c r="AW14" s="88" t="s">
        <v>280</v>
      </c>
      <c r="AX14" s="88">
        <v>10.358</v>
      </c>
      <c r="AY14" s="88">
        <v>4.0</v>
      </c>
      <c r="AZ14" s="88">
        <v>1.0</v>
      </c>
      <c r="BB14" s="88">
        <v>4.0</v>
      </c>
      <c r="BC14" s="88">
        <v>2.0</v>
      </c>
      <c r="BD14" s="88">
        <v>0.0</v>
      </c>
      <c r="BE14" s="88">
        <v>1.1</v>
      </c>
      <c r="BF14" s="88">
        <v>133.0</v>
      </c>
      <c r="BG14" s="88">
        <v>56.0</v>
      </c>
      <c r="BH14" s="88">
        <v>0.0</v>
      </c>
      <c r="BI14" s="88">
        <v>26.0</v>
      </c>
      <c r="BJ14" s="88">
        <v>13.0</v>
      </c>
      <c r="BK14" s="88">
        <v>0.0</v>
      </c>
      <c r="BP14" s="88" t="s">
        <v>362</v>
      </c>
      <c r="BQ14" s="88">
        <v>0.138</v>
      </c>
      <c r="BV14" s="88" t="s">
        <v>273</v>
      </c>
      <c r="BW14" s="88">
        <v>1.1</v>
      </c>
      <c r="CI14" s="87" t="s">
        <v>357</v>
      </c>
      <c r="CJ14" s="89">
        <v>46037.65928240741</v>
      </c>
    </row>
    <row r="15">
      <c r="A15" s="87" t="s">
        <v>363</v>
      </c>
      <c r="D15" s="88">
        <v>6.0</v>
      </c>
      <c r="E15" s="88" t="s">
        <v>345</v>
      </c>
      <c r="F15" s="90" t="s">
        <v>321</v>
      </c>
      <c r="G15" s="88" t="s">
        <v>261</v>
      </c>
      <c r="H15" s="88">
        <v>200.0</v>
      </c>
      <c r="I15" s="88" t="s">
        <v>262</v>
      </c>
      <c r="J15" s="88" t="s">
        <v>263</v>
      </c>
      <c r="L15" s="88" t="s">
        <v>364</v>
      </c>
      <c r="M15" s="88">
        <v>76.0</v>
      </c>
      <c r="N15" s="88">
        <v>666.0</v>
      </c>
      <c r="O15" s="88" t="s">
        <v>365</v>
      </c>
      <c r="P15" s="88">
        <v>196.0</v>
      </c>
      <c r="Q15" s="88">
        <v>1208.0</v>
      </c>
      <c r="S15" s="88">
        <v>0.0</v>
      </c>
      <c r="T15" s="88">
        <v>0.0</v>
      </c>
      <c r="V15" s="88">
        <v>0.0</v>
      </c>
      <c r="W15" s="88" t="s">
        <v>366</v>
      </c>
      <c r="X15" s="88">
        <v>84.0</v>
      </c>
      <c r="Y15" s="88" t="s">
        <v>367</v>
      </c>
      <c r="Z15" s="88">
        <v>40.0</v>
      </c>
      <c r="AA15" s="88" t="s">
        <v>287</v>
      </c>
      <c r="AB15" s="88">
        <v>16.0</v>
      </c>
      <c r="AC15" s="88" t="s">
        <v>288</v>
      </c>
      <c r="AD15" s="88">
        <v>34.0</v>
      </c>
      <c r="AE15" s="88" t="s">
        <v>270</v>
      </c>
      <c r="AH15" s="87" t="s">
        <v>363</v>
      </c>
      <c r="AN15" s="88">
        <v>182122.0</v>
      </c>
      <c r="AO15" s="88">
        <v>32575.0</v>
      </c>
      <c r="AP15" s="88">
        <v>32575.0</v>
      </c>
      <c r="AQ15" s="88">
        <v>12.479</v>
      </c>
      <c r="AS15" s="88">
        <v>1663.0</v>
      </c>
      <c r="AT15" s="88">
        <v>266.0</v>
      </c>
      <c r="AU15" s="88">
        <v>6.252</v>
      </c>
      <c r="AV15" s="88">
        <v>49.095</v>
      </c>
      <c r="AW15" s="88" t="s">
        <v>280</v>
      </c>
      <c r="AX15" s="88">
        <v>7.774</v>
      </c>
      <c r="AY15" s="88">
        <v>2.0</v>
      </c>
      <c r="AZ15" s="88">
        <v>1.0</v>
      </c>
      <c r="BB15" s="88">
        <v>6.0</v>
      </c>
      <c r="BC15" s="88">
        <v>3.0</v>
      </c>
      <c r="BD15" s="88">
        <v>0.0</v>
      </c>
      <c r="BE15" s="88">
        <v>1.66</v>
      </c>
      <c r="BF15" s="88">
        <v>133.0</v>
      </c>
      <c r="BG15" s="88">
        <v>49.0</v>
      </c>
      <c r="BH15" s="88">
        <v>0.0</v>
      </c>
      <c r="BI15" s="88">
        <v>12.0</v>
      </c>
      <c r="BJ15" s="88">
        <v>7.0</v>
      </c>
      <c r="BK15" s="88">
        <v>0.0</v>
      </c>
      <c r="BP15" s="88" t="s">
        <v>368</v>
      </c>
      <c r="BQ15" s="88">
        <v>0.184</v>
      </c>
      <c r="BV15" s="88" t="s">
        <v>273</v>
      </c>
      <c r="BW15" s="88">
        <v>1.1</v>
      </c>
      <c r="BX15" s="88">
        <v>6.0</v>
      </c>
      <c r="BY15" s="88">
        <v>2.0</v>
      </c>
      <c r="BZ15" s="88">
        <v>0.33</v>
      </c>
      <c r="CA15" s="88">
        <v>0.0</v>
      </c>
      <c r="CB15" s="88">
        <v>20.0</v>
      </c>
      <c r="CC15" s="88">
        <v>0.0</v>
      </c>
      <c r="CI15" s="87" t="s">
        <v>363</v>
      </c>
      <c r="CJ15" s="89">
        <v>46037.65895833333</v>
      </c>
    </row>
    <row r="16">
      <c r="A16" s="87" t="s">
        <v>369</v>
      </c>
      <c r="D16" s="88">
        <v>6.0</v>
      </c>
      <c r="E16" s="88" t="s">
        <v>345</v>
      </c>
      <c r="F16" s="90" t="s">
        <v>321</v>
      </c>
      <c r="G16" s="88" t="s">
        <v>261</v>
      </c>
      <c r="H16" s="88">
        <v>200.0</v>
      </c>
      <c r="I16" s="88" t="s">
        <v>262</v>
      </c>
      <c r="J16" s="88" t="s">
        <v>263</v>
      </c>
      <c r="L16" s="88" t="s">
        <v>370</v>
      </c>
      <c r="M16" s="88">
        <v>72.0</v>
      </c>
      <c r="N16" s="88">
        <v>659.0</v>
      </c>
      <c r="O16" s="88" t="s">
        <v>371</v>
      </c>
      <c r="P16" s="88">
        <v>173.0</v>
      </c>
      <c r="Q16" s="88">
        <v>1065.0</v>
      </c>
      <c r="S16" s="88">
        <v>0.0</v>
      </c>
      <c r="T16" s="88">
        <v>0.0</v>
      </c>
      <c r="V16" s="88">
        <v>0.0</v>
      </c>
      <c r="W16" s="88" t="s">
        <v>372</v>
      </c>
      <c r="X16" s="88">
        <v>88.0</v>
      </c>
      <c r="Z16" s="88">
        <v>0.0</v>
      </c>
      <c r="AA16" s="88" t="s">
        <v>287</v>
      </c>
      <c r="AB16" s="88">
        <v>16.0</v>
      </c>
      <c r="AC16" s="88" t="s">
        <v>288</v>
      </c>
      <c r="AD16" s="88">
        <v>34.0</v>
      </c>
      <c r="AE16" s="88" t="s">
        <v>270</v>
      </c>
      <c r="AH16" s="87" t="s">
        <v>369</v>
      </c>
      <c r="AN16" s="88">
        <v>191837.0</v>
      </c>
      <c r="AO16" s="88">
        <v>35349.0</v>
      </c>
      <c r="AP16" s="88">
        <v>35349.0</v>
      </c>
      <c r="AQ16" s="88">
        <v>13.542</v>
      </c>
      <c r="AS16" s="88">
        <v>2737.0</v>
      </c>
      <c r="AT16" s="88">
        <v>409.0</v>
      </c>
      <c r="AU16" s="88">
        <v>6.692</v>
      </c>
      <c r="AV16" s="88">
        <v>29.575</v>
      </c>
      <c r="AW16" s="88" t="s">
        <v>373</v>
      </c>
      <c r="AX16" s="88">
        <v>12.026</v>
      </c>
      <c r="AY16" s="88">
        <v>2.0</v>
      </c>
      <c r="AZ16" s="88">
        <v>1.0</v>
      </c>
      <c r="BB16" s="88">
        <v>348.0</v>
      </c>
      <c r="BC16" s="88">
        <v>116.0</v>
      </c>
      <c r="BD16" s="88">
        <v>0.0</v>
      </c>
      <c r="BE16" s="88">
        <v>64.09</v>
      </c>
      <c r="BF16" s="88">
        <v>131.0</v>
      </c>
      <c r="BG16" s="88">
        <v>48.0</v>
      </c>
      <c r="BH16" s="88">
        <v>0.0</v>
      </c>
      <c r="BI16" s="88">
        <v>15.0</v>
      </c>
      <c r="BJ16" s="88">
        <v>10.0</v>
      </c>
      <c r="BK16" s="88">
        <v>0.0</v>
      </c>
      <c r="BP16" s="88" t="s">
        <v>374</v>
      </c>
      <c r="BQ16" s="88">
        <v>0.093</v>
      </c>
      <c r="BV16" s="88" t="s">
        <v>273</v>
      </c>
      <c r="BW16" s="88">
        <v>1.1</v>
      </c>
      <c r="BX16" s="88">
        <v>16.0</v>
      </c>
      <c r="BY16" s="88">
        <v>3.0</v>
      </c>
      <c r="BZ16" s="88">
        <v>0.5</v>
      </c>
      <c r="CA16" s="88">
        <v>0.0</v>
      </c>
      <c r="CB16" s="88">
        <v>36.0</v>
      </c>
      <c r="CC16" s="88">
        <v>0.0</v>
      </c>
      <c r="CI16" s="87" t="s">
        <v>369</v>
      </c>
      <c r="CJ16" s="89">
        <v>46037.65895833333</v>
      </c>
    </row>
    <row r="17">
      <c r="A17" s="87" t="s">
        <v>375</v>
      </c>
      <c r="B17" s="88" t="s">
        <v>336</v>
      </c>
      <c r="C17" s="88" t="s">
        <v>337</v>
      </c>
      <c r="E17" s="88" t="s">
        <v>345</v>
      </c>
      <c r="F17" s="90" t="s">
        <v>321</v>
      </c>
      <c r="G17" s="88" t="s">
        <v>261</v>
      </c>
      <c r="H17" s="88">
        <v>200.0</v>
      </c>
      <c r="I17" s="88" t="s">
        <v>262</v>
      </c>
      <c r="J17" s="88" t="s">
        <v>263</v>
      </c>
      <c r="L17" s="88" t="s">
        <v>376</v>
      </c>
      <c r="M17" s="88">
        <v>63.0</v>
      </c>
      <c r="N17" s="88">
        <v>576.0</v>
      </c>
      <c r="O17" s="88" t="s">
        <v>377</v>
      </c>
      <c r="P17" s="88">
        <v>161.0</v>
      </c>
      <c r="Q17" s="88">
        <v>996.0</v>
      </c>
      <c r="R17" s="88" t="s">
        <v>378</v>
      </c>
      <c r="S17" s="88">
        <v>98.0</v>
      </c>
      <c r="T17" s="88">
        <v>624.0</v>
      </c>
      <c r="V17" s="88">
        <v>0.0</v>
      </c>
      <c r="W17" s="88" t="s">
        <v>379</v>
      </c>
      <c r="X17" s="88">
        <v>59.0</v>
      </c>
      <c r="Z17" s="88">
        <v>0.0</v>
      </c>
      <c r="AA17" s="88" t="s">
        <v>287</v>
      </c>
      <c r="AB17" s="88">
        <v>16.0</v>
      </c>
      <c r="AC17" s="88" t="s">
        <v>288</v>
      </c>
      <c r="AD17" s="88">
        <v>34.0</v>
      </c>
      <c r="AE17" s="88" t="s">
        <v>270</v>
      </c>
      <c r="AH17" s="87" t="s">
        <v>375</v>
      </c>
      <c r="AN17" s="88">
        <v>190232.0</v>
      </c>
      <c r="AO17" s="88">
        <v>34436.0</v>
      </c>
      <c r="AP17" s="88">
        <v>34436.0</v>
      </c>
      <c r="AQ17" s="88">
        <v>13.192</v>
      </c>
      <c r="AS17" s="88">
        <v>2464.0</v>
      </c>
      <c r="AT17" s="88">
        <v>403.0</v>
      </c>
      <c r="AU17" s="88">
        <v>6.114</v>
      </c>
      <c r="AV17" s="88">
        <v>40.047</v>
      </c>
      <c r="AW17" s="88" t="s">
        <v>280</v>
      </c>
      <c r="AX17" s="88">
        <v>10.661</v>
      </c>
      <c r="AY17" s="88">
        <v>4.0</v>
      </c>
      <c r="AZ17" s="88">
        <v>1.0</v>
      </c>
      <c r="BB17" s="88">
        <v>4.0</v>
      </c>
      <c r="BC17" s="88">
        <v>2.0</v>
      </c>
      <c r="BD17" s="88">
        <v>0.0</v>
      </c>
      <c r="BE17" s="88">
        <v>1.1</v>
      </c>
      <c r="BF17" s="88">
        <v>132.0</v>
      </c>
      <c r="BG17" s="88">
        <v>55.0</v>
      </c>
      <c r="BH17" s="88">
        <v>0.0</v>
      </c>
      <c r="BI17" s="88">
        <v>25.0</v>
      </c>
      <c r="BJ17" s="88">
        <v>15.0</v>
      </c>
      <c r="BK17" s="88">
        <v>0.0</v>
      </c>
      <c r="BP17" s="88" t="s">
        <v>380</v>
      </c>
      <c r="BQ17" s="88">
        <v>0.09</v>
      </c>
      <c r="BV17" s="88" t="s">
        <v>273</v>
      </c>
      <c r="BW17" s="88">
        <v>1.1</v>
      </c>
      <c r="CI17" s="87" t="s">
        <v>375</v>
      </c>
      <c r="CJ17" s="89">
        <v>46037.65928240741</v>
      </c>
    </row>
    <row r="18">
      <c r="A18" s="87" t="s">
        <v>381</v>
      </c>
      <c r="B18" s="88" t="s">
        <v>336</v>
      </c>
      <c r="C18" s="88" t="s">
        <v>337</v>
      </c>
      <c r="D18" s="88">
        <v>1.0</v>
      </c>
      <c r="E18" s="88" t="s">
        <v>345</v>
      </c>
      <c r="F18" s="90" t="s">
        <v>321</v>
      </c>
      <c r="G18" s="88" t="s">
        <v>261</v>
      </c>
      <c r="H18" s="88">
        <v>200.0</v>
      </c>
      <c r="I18" s="88" t="s">
        <v>262</v>
      </c>
      <c r="J18" s="88" t="s">
        <v>263</v>
      </c>
      <c r="L18" s="88" t="s">
        <v>382</v>
      </c>
      <c r="M18" s="88">
        <v>55.0</v>
      </c>
      <c r="N18" s="88">
        <v>499.0</v>
      </c>
      <c r="O18" s="88" t="s">
        <v>383</v>
      </c>
      <c r="P18" s="88">
        <v>160.0</v>
      </c>
      <c r="Q18" s="88">
        <v>972.0</v>
      </c>
      <c r="R18" s="88" t="s">
        <v>384</v>
      </c>
      <c r="S18" s="88">
        <v>100.0</v>
      </c>
      <c r="T18" s="88">
        <v>611.0</v>
      </c>
      <c r="V18" s="88">
        <v>0.0</v>
      </c>
      <c r="W18" s="88" t="s">
        <v>385</v>
      </c>
      <c r="X18" s="88">
        <v>55.0</v>
      </c>
      <c r="Z18" s="88">
        <v>0.0</v>
      </c>
      <c r="AA18" s="88" t="s">
        <v>287</v>
      </c>
      <c r="AB18" s="88">
        <v>16.0</v>
      </c>
      <c r="AC18" s="88" t="s">
        <v>288</v>
      </c>
      <c r="AD18" s="88">
        <v>34.0</v>
      </c>
      <c r="AE18" s="88" t="s">
        <v>270</v>
      </c>
      <c r="AH18" s="87" t="s">
        <v>381</v>
      </c>
      <c r="AN18" s="88">
        <v>189335.0</v>
      </c>
      <c r="AO18" s="88">
        <v>34232.0</v>
      </c>
      <c r="AP18" s="88">
        <v>34232.0</v>
      </c>
      <c r="AQ18" s="88">
        <v>13.114</v>
      </c>
      <c r="AS18" s="88">
        <v>2382.0</v>
      </c>
      <c r="AT18" s="88">
        <v>374.0</v>
      </c>
      <c r="AU18" s="88">
        <v>6.369</v>
      </c>
      <c r="AV18" s="88">
        <v>44.205</v>
      </c>
      <c r="AW18" s="88" t="s">
        <v>280</v>
      </c>
      <c r="AX18" s="88">
        <v>10.209</v>
      </c>
      <c r="AY18" s="88">
        <v>4.0</v>
      </c>
      <c r="AZ18" s="88">
        <v>1.0</v>
      </c>
      <c r="BB18" s="88">
        <v>4.0</v>
      </c>
      <c r="BC18" s="88">
        <v>2.0</v>
      </c>
      <c r="BD18" s="88">
        <v>0.0</v>
      </c>
      <c r="BE18" s="88">
        <v>1.1</v>
      </c>
      <c r="BF18" s="88">
        <v>133.0</v>
      </c>
      <c r="BG18" s="88">
        <v>56.0</v>
      </c>
      <c r="BH18" s="88">
        <v>0.0</v>
      </c>
      <c r="BI18" s="88">
        <v>23.0</v>
      </c>
      <c r="BJ18" s="88">
        <v>13.0</v>
      </c>
      <c r="BK18" s="88">
        <v>0.0</v>
      </c>
      <c r="BP18" s="88" t="s">
        <v>386</v>
      </c>
      <c r="BQ18" s="88">
        <v>0.132</v>
      </c>
      <c r="BV18" s="88" t="s">
        <v>273</v>
      </c>
      <c r="BW18" s="88">
        <v>1.1</v>
      </c>
      <c r="BX18" s="88">
        <v>1.0</v>
      </c>
      <c r="BY18" s="88">
        <v>0.0</v>
      </c>
      <c r="BZ18" s="88">
        <v>0.0</v>
      </c>
      <c r="CA18" s="88">
        <v>0.0</v>
      </c>
      <c r="CB18" s="88">
        <v>3.0</v>
      </c>
      <c r="CC18" s="88">
        <v>0.0</v>
      </c>
      <c r="CI18" s="87" t="s">
        <v>381</v>
      </c>
      <c r="CJ18" s="89">
        <v>46037.659212962964</v>
      </c>
    </row>
    <row r="19">
      <c r="A19" s="87" t="s">
        <v>387</v>
      </c>
      <c r="B19" s="88" t="s">
        <v>336</v>
      </c>
      <c r="C19" s="88" t="s">
        <v>337</v>
      </c>
      <c r="D19" s="88">
        <v>2.0</v>
      </c>
      <c r="E19" s="88" t="s">
        <v>260</v>
      </c>
      <c r="F19" s="88"/>
      <c r="G19" s="88" t="s">
        <v>261</v>
      </c>
      <c r="H19" s="88">
        <v>200.0</v>
      </c>
      <c r="I19" s="88" t="s">
        <v>262</v>
      </c>
      <c r="J19" s="88" t="s">
        <v>263</v>
      </c>
      <c r="L19" s="88" t="s">
        <v>388</v>
      </c>
      <c r="M19" s="88">
        <v>77.0</v>
      </c>
      <c r="N19" s="88">
        <v>723.0</v>
      </c>
      <c r="O19" s="88" t="s">
        <v>389</v>
      </c>
      <c r="P19" s="88">
        <v>112.0</v>
      </c>
      <c r="Q19" s="88">
        <v>710.0</v>
      </c>
      <c r="R19" s="88" t="s">
        <v>389</v>
      </c>
      <c r="S19" s="88">
        <v>112.0</v>
      </c>
      <c r="T19" s="88">
        <v>710.0</v>
      </c>
      <c r="V19" s="88">
        <v>0.0</v>
      </c>
      <c r="W19" s="88" t="s">
        <v>390</v>
      </c>
      <c r="X19" s="88">
        <v>61.0</v>
      </c>
      <c r="Z19" s="88">
        <v>0.0</v>
      </c>
      <c r="AA19" s="88" t="s">
        <v>287</v>
      </c>
      <c r="AB19" s="88">
        <v>16.0</v>
      </c>
      <c r="AC19" s="88" t="s">
        <v>288</v>
      </c>
      <c r="AD19" s="88">
        <v>34.0</v>
      </c>
      <c r="AE19" s="88" t="s">
        <v>270</v>
      </c>
      <c r="AH19" s="87" t="s">
        <v>387</v>
      </c>
      <c r="AN19" s="88">
        <v>189167.0</v>
      </c>
      <c r="AO19" s="88">
        <v>34122.0</v>
      </c>
      <c r="AP19" s="88">
        <v>34122.0</v>
      </c>
      <c r="AQ19" s="88">
        <v>13.071</v>
      </c>
      <c r="AS19" s="88">
        <v>2283.0</v>
      </c>
      <c r="AT19" s="88">
        <v>375.0</v>
      </c>
      <c r="AU19" s="88">
        <v>6.088</v>
      </c>
      <c r="AV19" s="88">
        <v>42.165</v>
      </c>
      <c r="AW19" s="88" t="s">
        <v>280</v>
      </c>
      <c r="AX19" s="88">
        <v>9.927</v>
      </c>
      <c r="AY19" s="88">
        <v>4.0</v>
      </c>
      <c r="AZ19" s="88">
        <v>1.0</v>
      </c>
      <c r="BB19" s="88">
        <v>5.0</v>
      </c>
      <c r="BC19" s="88">
        <v>3.0</v>
      </c>
      <c r="BD19" s="88">
        <v>0.0</v>
      </c>
      <c r="BE19" s="88">
        <v>1.66</v>
      </c>
      <c r="BF19" s="88">
        <v>127.0</v>
      </c>
      <c r="BG19" s="88">
        <v>50.0</v>
      </c>
      <c r="BH19" s="88">
        <v>0.0</v>
      </c>
      <c r="BI19" s="88">
        <v>26.0</v>
      </c>
      <c r="BJ19" s="88">
        <v>15.0</v>
      </c>
      <c r="BK19" s="88">
        <v>0.0</v>
      </c>
      <c r="BP19" s="88" t="s">
        <v>391</v>
      </c>
      <c r="BQ19" s="88">
        <v>0.086</v>
      </c>
      <c r="BV19" s="88" t="s">
        <v>273</v>
      </c>
      <c r="BW19" s="88">
        <v>1.1</v>
      </c>
      <c r="BX19" s="88">
        <v>4.0</v>
      </c>
      <c r="BY19" s="88">
        <v>1.0</v>
      </c>
      <c r="BZ19" s="88">
        <v>0.5</v>
      </c>
      <c r="CA19" s="88">
        <v>0.0</v>
      </c>
      <c r="CB19" s="88">
        <v>16.0</v>
      </c>
      <c r="CC19" s="88">
        <v>0.0</v>
      </c>
      <c r="CI19" s="87" t="s">
        <v>387</v>
      </c>
      <c r="CJ19" s="89">
        <v>46037.65912037037</v>
      </c>
    </row>
    <row r="20">
      <c r="A20" s="87" t="s">
        <v>392</v>
      </c>
      <c r="D20" s="88">
        <v>1.0</v>
      </c>
      <c r="E20" s="88" t="s">
        <v>260</v>
      </c>
      <c r="F20" s="88"/>
      <c r="G20" s="88" t="s">
        <v>261</v>
      </c>
      <c r="H20" s="88">
        <v>200.0</v>
      </c>
      <c r="I20" s="88" t="s">
        <v>262</v>
      </c>
      <c r="J20" s="88" t="s">
        <v>263</v>
      </c>
      <c r="L20" s="88" t="s">
        <v>393</v>
      </c>
      <c r="M20" s="88">
        <v>82.0</v>
      </c>
      <c r="N20" s="88">
        <v>770.0</v>
      </c>
      <c r="O20" s="88" t="s">
        <v>394</v>
      </c>
      <c r="P20" s="88">
        <v>178.0</v>
      </c>
      <c r="Q20" s="88">
        <v>1102.0</v>
      </c>
      <c r="R20" s="88" t="s">
        <v>395</v>
      </c>
      <c r="S20" s="88">
        <v>115.0</v>
      </c>
      <c r="T20" s="88">
        <v>726.0</v>
      </c>
      <c r="V20" s="88">
        <v>0.0</v>
      </c>
      <c r="W20" s="88" t="s">
        <v>396</v>
      </c>
      <c r="X20" s="88">
        <v>60.0</v>
      </c>
      <c r="Z20" s="88">
        <v>0.0</v>
      </c>
      <c r="AA20" s="88" t="s">
        <v>287</v>
      </c>
      <c r="AB20" s="88">
        <v>16.0</v>
      </c>
      <c r="AC20" s="88" t="s">
        <v>288</v>
      </c>
      <c r="AD20" s="88">
        <v>34.0</v>
      </c>
      <c r="AE20" s="88" t="s">
        <v>270</v>
      </c>
      <c r="AH20" s="87" t="s">
        <v>392</v>
      </c>
      <c r="AN20" s="88">
        <v>191052.0</v>
      </c>
      <c r="AO20" s="88">
        <v>35357.0</v>
      </c>
      <c r="AP20" s="88">
        <v>35357.0</v>
      </c>
      <c r="AQ20" s="88">
        <v>13.545</v>
      </c>
      <c r="AS20" s="88">
        <v>2950.0</v>
      </c>
      <c r="AT20" s="88">
        <v>452.0</v>
      </c>
      <c r="AU20" s="88">
        <v>6.527</v>
      </c>
      <c r="AV20" s="88">
        <v>45.206</v>
      </c>
      <c r="AW20" s="88" t="s">
        <v>280</v>
      </c>
      <c r="AX20" s="88">
        <v>12.017</v>
      </c>
      <c r="AY20" s="88">
        <v>5.0</v>
      </c>
      <c r="AZ20" s="88">
        <v>1.0</v>
      </c>
      <c r="BB20" s="88">
        <v>4.0</v>
      </c>
      <c r="BC20" s="88">
        <v>2.0</v>
      </c>
      <c r="BD20" s="88">
        <v>0.0</v>
      </c>
      <c r="BE20" s="88">
        <v>1.1</v>
      </c>
      <c r="BF20" s="88">
        <v>129.0</v>
      </c>
      <c r="BG20" s="88">
        <v>52.0</v>
      </c>
      <c r="BH20" s="88">
        <v>0.0</v>
      </c>
      <c r="BI20" s="88">
        <v>14.0</v>
      </c>
      <c r="BJ20" s="88">
        <v>9.0</v>
      </c>
      <c r="BK20" s="88">
        <v>0.0</v>
      </c>
      <c r="BP20" s="88" t="s">
        <v>397</v>
      </c>
      <c r="BQ20" s="88">
        <v>0.138</v>
      </c>
      <c r="BV20" s="88" t="s">
        <v>273</v>
      </c>
      <c r="BW20" s="88">
        <v>1.1</v>
      </c>
      <c r="BX20" s="88">
        <v>1.0</v>
      </c>
      <c r="BY20" s="88">
        <v>0.0</v>
      </c>
      <c r="BZ20" s="88">
        <v>0.0</v>
      </c>
      <c r="CA20" s="88">
        <v>0.0</v>
      </c>
      <c r="CB20" s="88">
        <v>3.0</v>
      </c>
      <c r="CC20" s="88">
        <v>0.0</v>
      </c>
      <c r="CI20" s="87" t="s">
        <v>392</v>
      </c>
      <c r="CJ20" s="89">
        <v>46037.65939814815</v>
      </c>
    </row>
    <row r="21">
      <c r="A21" s="87" t="s">
        <v>398</v>
      </c>
      <c r="F21" s="88"/>
      <c r="G21" s="88" t="s">
        <v>261</v>
      </c>
      <c r="H21" s="88">
        <v>200.0</v>
      </c>
      <c r="I21" s="88" t="s">
        <v>262</v>
      </c>
      <c r="J21" s="88" t="s">
        <v>263</v>
      </c>
      <c r="L21" s="88" t="s">
        <v>399</v>
      </c>
      <c r="M21" s="88">
        <v>73.0</v>
      </c>
      <c r="N21" s="88">
        <v>683.0</v>
      </c>
      <c r="O21" s="88" t="s">
        <v>400</v>
      </c>
      <c r="P21" s="88">
        <v>184.0</v>
      </c>
      <c r="Q21" s="88">
        <v>1135.0</v>
      </c>
      <c r="R21" s="88" t="s">
        <v>401</v>
      </c>
      <c r="S21" s="88">
        <v>100.0</v>
      </c>
      <c r="T21" s="88">
        <v>618.0</v>
      </c>
      <c r="V21" s="88">
        <v>0.0</v>
      </c>
      <c r="W21" s="88" t="s">
        <v>402</v>
      </c>
      <c r="X21" s="88">
        <v>60.0</v>
      </c>
      <c r="Z21" s="88">
        <v>0.0</v>
      </c>
      <c r="AA21" s="88" t="s">
        <v>287</v>
      </c>
      <c r="AB21" s="88">
        <v>16.0</v>
      </c>
      <c r="AC21" s="88" t="s">
        <v>288</v>
      </c>
      <c r="AD21" s="88">
        <v>34.0</v>
      </c>
      <c r="AE21" s="88" t="s">
        <v>270</v>
      </c>
      <c r="AH21" s="87" t="s">
        <v>398</v>
      </c>
      <c r="AN21" s="88">
        <v>196162.0</v>
      </c>
      <c r="AO21" s="88">
        <v>37159.0</v>
      </c>
      <c r="AP21" s="88">
        <v>37159.0</v>
      </c>
      <c r="AQ21" s="88">
        <v>14.235</v>
      </c>
      <c r="AS21" s="88">
        <v>3523.0</v>
      </c>
      <c r="AT21" s="88">
        <v>533.0</v>
      </c>
      <c r="AU21" s="88">
        <v>6.61</v>
      </c>
      <c r="AV21" s="88">
        <v>42.693</v>
      </c>
      <c r="AW21" s="88" t="s">
        <v>280</v>
      </c>
      <c r="AX21" s="88">
        <v>13.752</v>
      </c>
      <c r="AY21" s="88">
        <v>4.0</v>
      </c>
      <c r="AZ21" s="88">
        <v>1.0</v>
      </c>
      <c r="BB21" s="88">
        <v>4.0</v>
      </c>
      <c r="BC21" s="88">
        <v>2.0</v>
      </c>
      <c r="BD21" s="88">
        <v>0.0</v>
      </c>
      <c r="BE21" s="88">
        <v>1.1</v>
      </c>
      <c r="BF21" s="88">
        <v>130.0</v>
      </c>
      <c r="BG21" s="88">
        <v>53.0</v>
      </c>
      <c r="BH21" s="88">
        <v>0.0</v>
      </c>
      <c r="BI21" s="88">
        <v>16.0</v>
      </c>
      <c r="BJ21" s="88">
        <v>10.0</v>
      </c>
      <c r="BK21" s="88">
        <v>0.0</v>
      </c>
      <c r="BP21" s="88" t="s">
        <v>403</v>
      </c>
      <c r="BQ21" s="88">
        <v>0.143</v>
      </c>
      <c r="BV21" s="88" t="s">
        <v>273</v>
      </c>
      <c r="BW21" s="88">
        <v>1.1</v>
      </c>
      <c r="CI21" s="87" t="s">
        <v>398</v>
      </c>
      <c r="CJ21" s="89">
        <v>46037.659212962964</v>
      </c>
    </row>
    <row r="22">
      <c r="A22" s="87" t="s">
        <v>404</v>
      </c>
      <c r="F22" s="88"/>
      <c r="G22" s="88" t="s">
        <v>261</v>
      </c>
      <c r="H22" s="88">
        <v>200.0</v>
      </c>
      <c r="I22" s="88" t="s">
        <v>262</v>
      </c>
      <c r="J22" s="88" t="s">
        <v>263</v>
      </c>
      <c r="L22" s="88" t="s">
        <v>405</v>
      </c>
      <c r="M22" s="88">
        <v>87.0</v>
      </c>
      <c r="N22" s="88">
        <v>824.0</v>
      </c>
      <c r="O22" s="88" t="s">
        <v>406</v>
      </c>
      <c r="P22" s="88">
        <v>185.0</v>
      </c>
      <c r="Q22" s="88">
        <v>1132.0</v>
      </c>
      <c r="R22" s="88" t="s">
        <v>407</v>
      </c>
      <c r="S22" s="88">
        <v>118.0</v>
      </c>
      <c r="T22" s="88">
        <v>750.0</v>
      </c>
      <c r="V22" s="88">
        <v>0.0</v>
      </c>
      <c r="W22" s="88" t="s">
        <v>408</v>
      </c>
      <c r="X22" s="88">
        <v>67.0</v>
      </c>
      <c r="Z22" s="88">
        <v>0.0</v>
      </c>
      <c r="AA22" s="88" t="s">
        <v>287</v>
      </c>
      <c r="AB22" s="88">
        <v>16.0</v>
      </c>
      <c r="AC22" s="88" t="s">
        <v>288</v>
      </c>
      <c r="AD22" s="88">
        <v>34.0</v>
      </c>
      <c r="AE22" s="88" t="s">
        <v>270</v>
      </c>
      <c r="AH22" s="87" t="s">
        <v>404</v>
      </c>
      <c r="AN22" s="88">
        <v>193207.0</v>
      </c>
      <c r="AO22" s="88">
        <v>35987.0</v>
      </c>
      <c r="AP22" s="88">
        <v>35987.0</v>
      </c>
      <c r="AQ22" s="88">
        <v>13.786</v>
      </c>
      <c r="AS22" s="88">
        <v>3083.0</v>
      </c>
      <c r="AT22" s="88">
        <v>451.0</v>
      </c>
      <c r="AU22" s="88">
        <v>6.836</v>
      </c>
      <c r="AV22" s="88">
        <v>44.938</v>
      </c>
      <c r="AW22" s="88" t="s">
        <v>280</v>
      </c>
      <c r="AX22" s="88">
        <v>12.343</v>
      </c>
      <c r="AY22" s="88">
        <v>5.0</v>
      </c>
      <c r="AZ22" s="88">
        <v>1.0</v>
      </c>
      <c r="BB22" s="88">
        <v>4.0</v>
      </c>
      <c r="BC22" s="88">
        <v>2.0</v>
      </c>
      <c r="BD22" s="88">
        <v>0.0</v>
      </c>
      <c r="BE22" s="88">
        <v>1.1</v>
      </c>
      <c r="BF22" s="88">
        <v>129.0</v>
      </c>
      <c r="BG22" s="88">
        <v>52.0</v>
      </c>
      <c r="BH22" s="88">
        <v>0.0</v>
      </c>
      <c r="BI22" s="88">
        <v>21.0</v>
      </c>
      <c r="BJ22" s="88">
        <v>12.0</v>
      </c>
      <c r="BK22" s="88">
        <v>0.0</v>
      </c>
      <c r="BP22" s="88" t="s">
        <v>409</v>
      </c>
      <c r="BQ22" s="88">
        <v>0.14</v>
      </c>
      <c r="BV22" s="88" t="s">
        <v>273</v>
      </c>
      <c r="BW22" s="88">
        <v>1.1</v>
      </c>
      <c r="CI22" s="87" t="s">
        <v>404</v>
      </c>
      <c r="CJ22" s="89">
        <v>46037.659375</v>
      </c>
    </row>
    <row r="23">
      <c r="A23" s="87" t="s">
        <v>410</v>
      </c>
      <c r="D23" s="88">
        <v>2.0</v>
      </c>
      <c r="E23" s="88" t="s">
        <v>345</v>
      </c>
      <c r="F23" s="87" t="s">
        <v>290</v>
      </c>
      <c r="G23" s="88" t="s">
        <v>261</v>
      </c>
      <c r="H23" s="88">
        <v>200.0</v>
      </c>
      <c r="I23" s="88" t="s">
        <v>262</v>
      </c>
      <c r="J23" s="88" t="s">
        <v>263</v>
      </c>
      <c r="L23" s="88" t="s">
        <v>411</v>
      </c>
      <c r="M23" s="88">
        <v>74.0</v>
      </c>
      <c r="N23" s="88">
        <v>685.0</v>
      </c>
      <c r="O23" s="88" t="s">
        <v>412</v>
      </c>
      <c r="P23" s="88">
        <v>188.0</v>
      </c>
      <c r="Q23" s="88">
        <v>1153.0</v>
      </c>
      <c r="S23" s="88">
        <v>0.0</v>
      </c>
      <c r="T23" s="88">
        <v>0.0</v>
      </c>
      <c r="V23" s="88">
        <v>0.0</v>
      </c>
      <c r="W23" s="88" t="s">
        <v>413</v>
      </c>
      <c r="X23" s="88">
        <v>90.0</v>
      </c>
      <c r="Y23" s="88" t="s">
        <v>414</v>
      </c>
      <c r="Z23" s="88">
        <v>46.0</v>
      </c>
      <c r="AA23" s="88" t="s">
        <v>287</v>
      </c>
      <c r="AB23" s="88">
        <v>16.0</v>
      </c>
      <c r="AC23" s="88" t="s">
        <v>288</v>
      </c>
      <c r="AD23" s="88">
        <v>34.0</v>
      </c>
      <c r="AE23" s="88" t="s">
        <v>270</v>
      </c>
      <c r="AH23" s="87" t="s">
        <v>410</v>
      </c>
      <c r="AN23" s="88">
        <v>183482.0</v>
      </c>
      <c r="AO23" s="88">
        <v>32947.0</v>
      </c>
      <c r="AP23" s="88">
        <v>32947.0</v>
      </c>
      <c r="AQ23" s="88">
        <v>12.621</v>
      </c>
      <c r="AS23" s="88">
        <v>1872.0</v>
      </c>
      <c r="AT23" s="88">
        <v>290.0</v>
      </c>
      <c r="AU23" s="88">
        <v>6.455</v>
      </c>
      <c r="AV23" s="88">
        <v>48.392</v>
      </c>
      <c r="AW23" s="88" t="s">
        <v>280</v>
      </c>
      <c r="AX23" s="88">
        <v>8.465</v>
      </c>
      <c r="AY23" s="88">
        <v>2.0</v>
      </c>
      <c r="AZ23" s="88">
        <v>1.0</v>
      </c>
      <c r="BB23" s="88">
        <v>6.0</v>
      </c>
      <c r="BC23" s="88">
        <v>3.0</v>
      </c>
      <c r="BD23" s="88">
        <v>0.0</v>
      </c>
      <c r="BE23" s="88">
        <v>1.66</v>
      </c>
      <c r="BF23" s="88">
        <v>133.0</v>
      </c>
      <c r="BG23" s="88">
        <v>49.0</v>
      </c>
      <c r="BH23" s="88">
        <v>0.0</v>
      </c>
      <c r="BI23" s="88">
        <v>12.0</v>
      </c>
      <c r="BJ23" s="88">
        <v>7.0</v>
      </c>
      <c r="BK23" s="88">
        <v>0.0</v>
      </c>
      <c r="BP23" s="88" t="s">
        <v>415</v>
      </c>
      <c r="BQ23" s="88">
        <v>0.12</v>
      </c>
      <c r="BV23" s="88" t="s">
        <v>273</v>
      </c>
      <c r="BW23" s="88">
        <v>1.1</v>
      </c>
      <c r="BX23" s="88">
        <v>5.0</v>
      </c>
      <c r="BY23" s="88">
        <v>1.0</v>
      </c>
      <c r="BZ23" s="88">
        <v>0.5</v>
      </c>
      <c r="CA23" s="88">
        <v>0.0</v>
      </c>
      <c r="CB23" s="88">
        <v>9.0</v>
      </c>
      <c r="CC23" s="88">
        <v>0.0</v>
      </c>
      <c r="CI23" s="87" t="s">
        <v>410</v>
      </c>
      <c r="CJ23" s="89">
        <v>46037.65895833333</v>
      </c>
    </row>
    <row r="24">
      <c r="A24" s="87" t="s">
        <v>416</v>
      </c>
      <c r="F24" s="88"/>
      <c r="G24" s="88" t="s">
        <v>261</v>
      </c>
      <c r="H24" s="88">
        <v>200.0</v>
      </c>
      <c r="I24" s="88" t="s">
        <v>262</v>
      </c>
      <c r="J24" s="88" t="s">
        <v>263</v>
      </c>
      <c r="L24" s="88" t="s">
        <v>417</v>
      </c>
      <c r="M24" s="88">
        <v>72.0</v>
      </c>
      <c r="N24" s="88">
        <v>667.0</v>
      </c>
      <c r="O24" s="88" t="s">
        <v>418</v>
      </c>
      <c r="P24" s="88">
        <v>168.0</v>
      </c>
      <c r="Q24" s="88">
        <v>1041.0</v>
      </c>
      <c r="R24" s="88" t="s">
        <v>419</v>
      </c>
      <c r="S24" s="88">
        <v>108.0</v>
      </c>
      <c r="T24" s="88">
        <v>669.0</v>
      </c>
      <c r="V24" s="88">
        <v>0.0</v>
      </c>
      <c r="W24" s="88" t="s">
        <v>420</v>
      </c>
      <c r="X24" s="88">
        <v>56.0</v>
      </c>
      <c r="Z24" s="88">
        <v>0.0</v>
      </c>
      <c r="AA24" s="88" t="s">
        <v>287</v>
      </c>
      <c r="AB24" s="88">
        <v>16.0</v>
      </c>
      <c r="AC24" s="88" t="s">
        <v>288</v>
      </c>
      <c r="AD24" s="88">
        <v>34.0</v>
      </c>
      <c r="AE24" s="88" t="s">
        <v>270</v>
      </c>
      <c r="AH24" s="87" t="s">
        <v>416</v>
      </c>
      <c r="AN24" s="88">
        <v>189061.0</v>
      </c>
      <c r="AO24" s="88">
        <v>34661.0</v>
      </c>
      <c r="AP24" s="88">
        <v>34661.0</v>
      </c>
      <c r="AQ24" s="88">
        <v>13.278</v>
      </c>
      <c r="AS24" s="88">
        <v>2615.0</v>
      </c>
      <c r="AT24" s="88">
        <v>400.0</v>
      </c>
      <c r="AU24" s="88">
        <v>6.537</v>
      </c>
      <c r="AV24" s="88">
        <v>48.858</v>
      </c>
      <c r="AW24" s="88" t="s">
        <v>280</v>
      </c>
      <c r="AX24" s="88">
        <v>10.667</v>
      </c>
      <c r="AY24" s="88">
        <v>5.0</v>
      </c>
      <c r="AZ24" s="88">
        <v>1.0</v>
      </c>
      <c r="BB24" s="88">
        <v>4.0</v>
      </c>
      <c r="BC24" s="88">
        <v>2.0</v>
      </c>
      <c r="BD24" s="88">
        <v>0.0</v>
      </c>
      <c r="BE24" s="88">
        <v>1.1</v>
      </c>
      <c r="BF24" s="88">
        <v>134.0</v>
      </c>
      <c r="BG24" s="88">
        <v>57.0</v>
      </c>
      <c r="BH24" s="88">
        <v>0.0</v>
      </c>
      <c r="BI24" s="88">
        <v>16.0</v>
      </c>
      <c r="BJ24" s="88">
        <v>10.0</v>
      </c>
      <c r="BK24" s="88">
        <v>0.0</v>
      </c>
      <c r="BP24" s="88" t="s">
        <v>421</v>
      </c>
      <c r="BQ24" s="88">
        <v>0.126</v>
      </c>
      <c r="BV24" s="88" t="s">
        <v>273</v>
      </c>
      <c r="BW24" s="88">
        <v>1.1</v>
      </c>
      <c r="CI24" s="87" t="s">
        <v>416</v>
      </c>
      <c r="CJ24" s="89">
        <v>46037.65940972222</v>
      </c>
    </row>
    <row r="25">
      <c r="A25" s="87" t="s">
        <v>422</v>
      </c>
      <c r="B25" s="88" t="s">
        <v>336</v>
      </c>
      <c r="C25" s="88" t="s">
        <v>423</v>
      </c>
      <c r="D25" s="88">
        <v>8.0</v>
      </c>
      <c r="E25" s="88" t="s">
        <v>424</v>
      </c>
      <c r="F25" s="88"/>
      <c r="G25" s="88" t="s">
        <v>261</v>
      </c>
      <c r="H25" s="88">
        <v>200.0</v>
      </c>
      <c r="I25" s="88" t="s">
        <v>262</v>
      </c>
      <c r="J25" s="88" t="s">
        <v>263</v>
      </c>
      <c r="L25" s="88" t="s">
        <v>425</v>
      </c>
      <c r="M25" s="88">
        <v>20.0</v>
      </c>
      <c r="N25" s="88">
        <v>176.0</v>
      </c>
      <c r="P25" s="88">
        <v>0.0</v>
      </c>
      <c r="Q25" s="88">
        <v>0.0</v>
      </c>
      <c r="S25" s="88">
        <v>0.0</v>
      </c>
      <c r="T25" s="88">
        <v>0.0</v>
      </c>
      <c r="V25" s="88">
        <v>0.0</v>
      </c>
      <c r="W25" s="88" t="s">
        <v>426</v>
      </c>
      <c r="X25" s="88">
        <v>8.0</v>
      </c>
      <c r="Z25" s="88">
        <v>0.0</v>
      </c>
      <c r="AA25" s="88" t="s">
        <v>427</v>
      </c>
      <c r="AB25" s="88">
        <v>46.0</v>
      </c>
      <c r="AC25" s="88" t="s">
        <v>428</v>
      </c>
      <c r="AD25" s="88">
        <v>16.0</v>
      </c>
      <c r="AE25" s="88" t="s">
        <v>270</v>
      </c>
      <c r="AH25" s="87" t="s">
        <v>422</v>
      </c>
      <c r="AI25" s="87" t="s">
        <v>429</v>
      </c>
      <c r="AN25" s="88">
        <v>134386.0</v>
      </c>
      <c r="AO25" s="88">
        <v>24307.0</v>
      </c>
      <c r="AP25" s="88">
        <v>24307.0</v>
      </c>
      <c r="AQ25" s="88">
        <v>9.312</v>
      </c>
      <c r="AS25" s="88">
        <v>403.0</v>
      </c>
      <c r="AT25" s="88">
        <v>75.0</v>
      </c>
      <c r="AU25" s="88">
        <v>5.373</v>
      </c>
      <c r="AV25" s="88">
        <v>52.544</v>
      </c>
      <c r="AW25" s="88" t="s">
        <v>304</v>
      </c>
      <c r="AX25" s="88">
        <v>4.304</v>
      </c>
      <c r="AY25" s="88">
        <v>1.0</v>
      </c>
      <c r="AZ25" s="88">
        <v>1.0</v>
      </c>
      <c r="BB25" s="88">
        <v>194.0</v>
      </c>
      <c r="BC25" s="88">
        <v>180.0</v>
      </c>
      <c r="BD25" s="88">
        <v>0.0</v>
      </c>
      <c r="BE25" s="88">
        <v>99.45</v>
      </c>
      <c r="BF25" s="88">
        <v>121.0</v>
      </c>
      <c r="BG25" s="88">
        <v>53.0</v>
      </c>
      <c r="BH25" s="88">
        <v>0.0</v>
      </c>
      <c r="BI25" s="88">
        <v>2.0</v>
      </c>
      <c r="BJ25" s="88">
        <v>2.0</v>
      </c>
      <c r="BK25" s="88">
        <v>0.0</v>
      </c>
      <c r="BP25" s="88" t="s">
        <v>430</v>
      </c>
      <c r="BQ25" s="88">
        <v>0.195</v>
      </c>
      <c r="BV25" s="88" t="s">
        <v>273</v>
      </c>
      <c r="BW25" s="88">
        <v>1.1</v>
      </c>
      <c r="BX25" s="88">
        <v>12.0</v>
      </c>
      <c r="BY25" s="88">
        <v>3.0</v>
      </c>
      <c r="BZ25" s="88">
        <v>0.38</v>
      </c>
      <c r="CA25" s="88">
        <v>0.0</v>
      </c>
      <c r="CB25" s="88">
        <v>36.0</v>
      </c>
      <c r="CC25" s="88">
        <v>0.0</v>
      </c>
      <c r="CI25" s="87" t="s">
        <v>422</v>
      </c>
      <c r="CJ25" s="89">
        <v>46037.65891203703</v>
      </c>
    </row>
    <row r="26">
      <c r="A26" s="87" t="s">
        <v>431</v>
      </c>
      <c r="F26" s="88"/>
      <c r="G26" s="88" t="s">
        <v>261</v>
      </c>
      <c r="H26" s="88">
        <v>200.0</v>
      </c>
      <c r="I26" s="88" t="s">
        <v>262</v>
      </c>
      <c r="J26" s="88" t="s">
        <v>432</v>
      </c>
      <c r="K26" s="88" t="s">
        <v>433</v>
      </c>
      <c r="L26" s="88" t="s">
        <v>434</v>
      </c>
      <c r="M26" s="88">
        <v>29.0</v>
      </c>
      <c r="N26" s="88">
        <v>255.0</v>
      </c>
      <c r="P26" s="88">
        <v>0.0</v>
      </c>
      <c r="Q26" s="88">
        <v>0.0</v>
      </c>
      <c r="S26" s="88">
        <v>0.0</v>
      </c>
      <c r="T26" s="88">
        <v>0.0</v>
      </c>
      <c r="V26" s="88">
        <v>0.0</v>
      </c>
      <c r="W26" s="88" t="s">
        <v>435</v>
      </c>
      <c r="X26" s="88">
        <v>16.0</v>
      </c>
      <c r="Z26" s="88">
        <v>0.0</v>
      </c>
      <c r="AA26" s="88" t="s">
        <v>436</v>
      </c>
      <c r="AB26" s="88">
        <v>60.0</v>
      </c>
      <c r="AD26" s="88">
        <v>0.0</v>
      </c>
      <c r="AE26" s="88" t="s">
        <v>437</v>
      </c>
      <c r="AN26" s="88">
        <v>4684.0</v>
      </c>
      <c r="AO26" s="88">
        <v>1757.0</v>
      </c>
      <c r="AP26" s="88">
        <v>1757.0</v>
      </c>
      <c r="AQ26" s="88">
        <v>0.673</v>
      </c>
      <c r="AS26" s="88">
        <v>116.0</v>
      </c>
      <c r="AT26" s="88">
        <v>21.0</v>
      </c>
      <c r="AU26" s="88">
        <v>5.524</v>
      </c>
      <c r="AV26" s="88">
        <v>75.058</v>
      </c>
      <c r="AW26" s="88" t="s">
        <v>438</v>
      </c>
      <c r="AX26" s="88">
        <v>14.624</v>
      </c>
      <c r="AY26" s="88">
        <v>1.0</v>
      </c>
      <c r="AZ26" s="88">
        <v>2.0</v>
      </c>
      <c r="BB26" s="88">
        <v>183.0</v>
      </c>
      <c r="BC26" s="88">
        <v>180.0</v>
      </c>
      <c r="BD26" s="88">
        <v>0.0</v>
      </c>
      <c r="BE26" s="88">
        <v>99.45</v>
      </c>
      <c r="BF26" s="88">
        <v>0.0</v>
      </c>
      <c r="BG26" s="88">
        <v>0.0</v>
      </c>
      <c r="BH26" s="88">
        <v>0.0</v>
      </c>
      <c r="BI26" s="88">
        <v>4.0</v>
      </c>
      <c r="BJ26" s="88">
        <v>4.0</v>
      </c>
      <c r="BK26" s="88">
        <v>0.0</v>
      </c>
      <c r="BP26" s="88" t="s">
        <v>439</v>
      </c>
      <c r="BQ26" s="88">
        <v>0.07</v>
      </c>
      <c r="BV26" s="88" t="s">
        <v>273</v>
      </c>
      <c r="BW26" s="88">
        <v>1.1</v>
      </c>
      <c r="CI26" s="87" t="s">
        <v>431</v>
      </c>
      <c r="CJ26" s="89">
        <v>46037.65887731482</v>
      </c>
    </row>
    <row r="27">
      <c r="A27" s="87" t="s">
        <v>440</v>
      </c>
      <c r="E27" s="88" t="s">
        <v>441</v>
      </c>
      <c r="F27" s="90" t="s">
        <v>442</v>
      </c>
      <c r="G27" s="88" t="s">
        <v>261</v>
      </c>
      <c r="H27" s="88">
        <v>200.0</v>
      </c>
      <c r="I27" s="88" t="s">
        <v>262</v>
      </c>
      <c r="J27" s="88" t="s">
        <v>263</v>
      </c>
      <c r="L27" s="88" t="s">
        <v>443</v>
      </c>
      <c r="M27" s="88">
        <v>74.0</v>
      </c>
      <c r="N27" s="88">
        <v>682.0</v>
      </c>
      <c r="O27" s="88" t="s">
        <v>444</v>
      </c>
      <c r="P27" s="88">
        <v>158.0</v>
      </c>
      <c r="Q27" s="88">
        <v>976.0</v>
      </c>
      <c r="R27" s="88" t="s">
        <v>445</v>
      </c>
      <c r="S27" s="88">
        <v>99.0</v>
      </c>
      <c r="T27" s="88">
        <v>618.0</v>
      </c>
      <c r="V27" s="88">
        <v>0.0</v>
      </c>
      <c r="W27" s="88" t="s">
        <v>446</v>
      </c>
      <c r="X27" s="88">
        <v>64.0</v>
      </c>
      <c r="Z27" s="88">
        <v>0.0</v>
      </c>
      <c r="AA27" s="88" t="s">
        <v>287</v>
      </c>
      <c r="AB27" s="88">
        <v>16.0</v>
      </c>
      <c r="AC27" s="88" t="s">
        <v>288</v>
      </c>
      <c r="AD27" s="88">
        <v>34.0</v>
      </c>
      <c r="AE27" s="88" t="s">
        <v>270</v>
      </c>
      <c r="AH27" s="87" t="s">
        <v>440</v>
      </c>
      <c r="AN27" s="88">
        <v>193508.0</v>
      </c>
      <c r="AO27" s="88">
        <v>36448.0</v>
      </c>
      <c r="AP27" s="88">
        <v>36448.0</v>
      </c>
      <c r="AQ27" s="88">
        <v>13.963</v>
      </c>
      <c r="AS27" s="88">
        <v>3230.0</v>
      </c>
      <c r="AT27" s="88">
        <v>495.0</v>
      </c>
      <c r="AU27" s="88">
        <v>6.525</v>
      </c>
      <c r="AV27" s="88">
        <v>48.665</v>
      </c>
      <c r="AW27" s="88" t="s">
        <v>280</v>
      </c>
      <c r="AX27" s="88">
        <v>12.584</v>
      </c>
      <c r="AY27" s="88">
        <v>5.0</v>
      </c>
      <c r="AZ27" s="88">
        <v>1.0</v>
      </c>
      <c r="BB27" s="88">
        <v>4.0</v>
      </c>
      <c r="BC27" s="88">
        <v>2.0</v>
      </c>
      <c r="BD27" s="88">
        <v>0.0</v>
      </c>
      <c r="BE27" s="88">
        <v>1.1</v>
      </c>
      <c r="BF27" s="88">
        <v>130.0</v>
      </c>
      <c r="BG27" s="88">
        <v>53.0</v>
      </c>
      <c r="BH27" s="88">
        <v>0.0</v>
      </c>
      <c r="BI27" s="88">
        <v>20.0</v>
      </c>
      <c r="BJ27" s="88">
        <v>12.0</v>
      </c>
      <c r="BK27" s="88">
        <v>0.0</v>
      </c>
      <c r="BP27" s="88" t="s">
        <v>447</v>
      </c>
      <c r="BQ27" s="88">
        <v>0.151</v>
      </c>
      <c r="BV27" s="88" t="s">
        <v>273</v>
      </c>
      <c r="BW27" s="88">
        <v>1.1</v>
      </c>
      <c r="CI27" s="87" t="s">
        <v>440</v>
      </c>
      <c r="CJ27" s="89">
        <v>46037.65939814815</v>
      </c>
    </row>
    <row r="28">
      <c r="A28" s="87" t="s">
        <v>448</v>
      </c>
      <c r="D28" s="88">
        <v>6.0</v>
      </c>
      <c r="E28" s="88" t="s">
        <v>449</v>
      </c>
      <c r="F28" s="88"/>
      <c r="G28" s="88" t="s">
        <v>261</v>
      </c>
      <c r="H28" s="88">
        <v>200.0</v>
      </c>
      <c r="I28" s="88" t="s">
        <v>262</v>
      </c>
      <c r="J28" s="88" t="s">
        <v>263</v>
      </c>
      <c r="L28" s="88" t="s">
        <v>450</v>
      </c>
      <c r="M28" s="88">
        <v>58.0</v>
      </c>
      <c r="N28" s="88">
        <v>548.0</v>
      </c>
      <c r="O28" s="88" t="s">
        <v>451</v>
      </c>
      <c r="P28" s="88">
        <v>208.0</v>
      </c>
      <c r="Q28" s="88">
        <v>1288.0</v>
      </c>
      <c r="R28" s="88" t="s">
        <v>452</v>
      </c>
      <c r="S28" s="88">
        <v>163.0</v>
      </c>
      <c r="T28" s="88">
        <v>1004.0</v>
      </c>
      <c r="V28" s="88">
        <v>0.0</v>
      </c>
      <c r="W28" s="88" t="s">
        <v>453</v>
      </c>
      <c r="X28" s="88">
        <v>22.0</v>
      </c>
      <c r="Z28" s="88">
        <v>0.0</v>
      </c>
      <c r="AA28" s="88" t="s">
        <v>288</v>
      </c>
      <c r="AB28" s="88">
        <v>34.0</v>
      </c>
      <c r="AC28" s="88" t="s">
        <v>454</v>
      </c>
      <c r="AD28" s="88">
        <v>31.0</v>
      </c>
      <c r="AE28" s="88" t="s">
        <v>270</v>
      </c>
      <c r="AH28" s="87" t="s">
        <v>448</v>
      </c>
      <c r="AN28" s="88">
        <v>238069.0</v>
      </c>
      <c r="AO28" s="88">
        <v>33187.0</v>
      </c>
      <c r="AP28" s="88">
        <v>33187.0</v>
      </c>
      <c r="AQ28" s="88">
        <v>12.713</v>
      </c>
      <c r="AS28" s="88">
        <v>1509.0</v>
      </c>
      <c r="AT28" s="88">
        <v>240.0</v>
      </c>
      <c r="AU28" s="88">
        <v>6.287</v>
      </c>
      <c r="AV28" s="88">
        <v>46.895</v>
      </c>
      <c r="AW28" s="88" t="s">
        <v>280</v>
      </c>
      <c r="AX28" s="88">
        <v>5.59</v>
      </c>
      <c r="AY28" s="88">
        <v>1.0</v>
      </c>
      <c r="AZ28" s="88">
        <v>1.0</v>
      </c>
      <c r="BB28" s="88">
        <v>364.0</v>
      </c>
      <c r="BC28" s="88">
        <v>180.0</v>
      </c>
      <c r="BD28" s="88">
        <v>0.0</v>
      </c>
      <c r="BE28" s="88">
        <v>99.45</v>
      </c>
      <c r="BF28" s="88">
        <v>108.0</v>
      </c>
      <c r="BG28" s="88">
        <v>41.0</v>
      </c>
      <c r="BH28" s="88">
        <v>0.0</v>
      </c>
      <c r="BI28" s="88">
        <v>12.0</v>
      </c>
      <c r="BJ28" s="88">
        <v>7.0</v>
      </c>
      <c r="BK28" s="88">
        <v>0.0</v>
      </c>
      <c r="BP28" s="88" t="s">
        <v>455</v>
      </c>
      <c r="BQ28" s="88">
        <v>0.131</v>
      </c>
      <c r="BV28" s="88" t="s">
        <v>273</v>
      </c>
      <c r="BW28" s="88">
        <v>1.1</v>
      </c>
      <c r="BX28" s="88">
        <v>7.0</v>
      </c>
      <c r="BY28" s="88">
        <v>2.0</v>
      </c>
      <c r="BZ28" s="88">
        <v>0.33</v>
      </c>
      <c r="CA28" s="88">
        <v>0.0</v>
      </c>
      <c r="CB28" s="88">
        <v>20.0</v>
      </c>
      <c r="CC28" s="88">
        <v>0.0</v>
      </c>
      <c r="CI28" s="87" t="s">
        <v>448</v>
      </c>
      <c r="CJ28" s="89">
        <v>46037.658900462964</v>
      </c>
    </row>
    <row r="29">
      <c r="A29" s="87" t="s">
        <v>456</v>
      </c>
      <c r="D29" s="88">
        <v>2.0</v>
      </c>
      <c r="E29" s="88" t="s">
        <v>260</v>
      </c>
      <c r="F29" s="88"/>
      <c r="G29" s="88" t="s">
        <v>261</v>
      </c>
      <c r="H29" s="88">
        <v>200.0</v>
      </c>
      <c r="I29" s="88" t="s">
        <v>262</v>
      </c>
      <c r="J29" s="88" t="s">
        <v>432</v>
      </c>
      <c r="K29" s="88" t="s">
        <v>433</v>
      </c>
      <c r="L29" s="88" t="s">
        <v>457</v>
      </c>
      <c r="M29" s="88">
        <v>78.0</v>
      </c>
      <c r="N29" s="88">
        <v>748.0</v>
      </c>
      <c r="O29" s="88" t="s">
        <v>458</v>
      </c>
      <c r="P29" s="88">
        <v>187.0</v>
      </c>
      <c r="Q29" s="88">
        <v>1179.0</v>
      </c>
      <c r="R29" s="88" t="s">
        <v>459</v>
      </c>
      <c r="S29" s="88">
        <v>118.0</v>
      </c>
      <c r="T29" s="88">
        <v>769.0</v>
      </c>
      <c r="V29" s="88">
        <v>0.0</v>
      </c>
      <c r="W29" s="88" t="s">
        <v>460</v>
      </c>
      <c r="X29" s="88">
        <v>63.0</v>
      </c>
      <c r="Z29" s="88">
        <v>0.0</v>
      </c>
      <c r="AA29" s="88" t="s">
        <v>287</v>
      </c>
      <c r="AB29" s="88">
        <v>16.0</v>
      </c>
      <c r="AC29" s="88" t="s">
        <v>288</v>
      </c>
      <c r="AD29" s="88">
        <v>34.0</v>
      </c>
      <c r="AE29" s="88" t="s">
        <v>461</v>
      </c>
      <c r="AN29" s="88">
        <v>186528.0</v>
      </c>
      <c r="AO29" s="88">
        <v>33768.0</v>
      </c>
      <c r="AP29" s="88">
        <v>33768.0</v>
      </c>
      <c r="AQ29" s="88">
        <v>12.936</v>
      </c>
      <c r="AS29" s="88">
        <v>2307.0</v>
      </c>
      <c r="AT29" s="88">
        <v>348.0</v>
      </c>
      <c r="AU29" s="88">
        <v>6.629</v>
      </c>
      <c r="AV29" s="88">
        <v>46.088</v>
      </c>
      <c r="AW29" s="88" t="s">
        <v>280</v>
      </c>
      <c r="AX29" s="88">
        <v>9.993</v>
      </c>
      <c r="AY29" s="88">
        <v>5.0</v>
      </c>
      <c r="AZ29" s="88">
        <v>1.0</v>
      </c>
      <c r="BB29" s="88">
        <v>4.0</v>
      </c>
      <c r="BC29" s="88">
        <v>2.0</v>
      </c>
      <c r="BD29" s="88">
        <v>0.0</v>
      </c>
      <c r="BE29" s="88">
        <v>1.1</v>
      </c>
      <c r="BF29" s="88">
        <v>132.0</v>
      </c>
      <c r="BG29" s="88">
        <v>55.0</v>
      </c>
      <c r="BH29" s="88">
        <v>0.0</v>
      </c>
      <c r="BI29" s="88">
        <v>15.0</v>
      </c>
      <c r="BJ29" s="88">
        <v>9.0</v>
      </c>
      <c r="BK29" s="88">
        <v>0.0</v>
      </c>
      <c r="BP29" s="88" t="s">
        <v>462</v>
      </c>
      <c r="BQ29" s="88">
        <v>0.144</v>
      </c>
      <c r="BV29" s="88" t="s">
        <v>273</v>
      </c>
      <c r="BW29" s="88">
        <v>1.1</v>
      </c>
      <c r="BX29" s="88">
        <v>2.0</v>
      </c>
      <c r="BY29" s="88">
        <v>0.0</v>
      </c>
      <c r="BZ29" s="88">
        <v>0.0</v>
      </c>
      <c r="CA29" s="88">
        <v>0.0</v>
      </c>
      <c r="CB29" s="88">
        <v>6.0</v>
      </c>
      <c r="CC29" s="88">
        <v>0.0</v>
      </c>
      <c r="CI29" s="87" t="s">
        <v>456</v>
      </c>
      <c r="CJ29" s="89">
        <v>46037.65940972222</v>
      </c>
    </row>
    <row r="30">
      <c r="A30" s="87" t="s">
        <v>463</v>
      </c>
      <c r="D30" s="88">
        <v>6.0</v>
      </c>
      <c r="E30" s="88" t="s">
        <v>464</v>
      </c>
      <c r="F30" s="88"/>
      <c r="G30" s="88" t="s">
        <v>261</v>
      </c>
      <c r="H30" s="88">
        <v>200.0</v>
      </c>
      <c r="I30" s="88" t="s">
        <v>262</v>
      </c>
      <c r="J30" s="88" t="s">
        <v>263</v>
      </c>
      <c r="L30" s="88" t="s">
        <v>465</v>
      </c>
      <c r="M30" s="88">
        <v>87.0</v>
      </c>
      <c r="N30" s="88">
        <v>772.0</v>
      </c>
      <c r="O30" s="88" t="s">
        <v>266</v>
      </c>
      <c r="P30" s="88">
        <v>172.0</v>
      </c>
      <c r="Q30" s="88">
        <v>1073.0</v>
      </c>
      <c r="R30" s="88" t="s">
        <v>266</v>
      </c>
      <c r="S30" s="88">
        <v>172.0</v>
      </c>
      <c r="T30" s="88">
        <v>1073.0</v>
      </c>
      <c r="V30" s="88">
        <v>0.0</v>
      </c>
      <c r="W30" s="88" t="s">
        <v>466</v>
      </c>
      <c r="X30" s="88">
        <v>27.0</v>
      </c>
      <c r="Z30" s="88">
        <v>0.0</v>
      </c>
      <c r="AA30" s="88" t="s">
        <v>288</v>
      </c>
      <c r="AB30" s="88">
        <v>34.0</v>
      </c>
      <c r="AC30" s="88" t="s">
        <v>467</v>
      </c>
      <c r="AD30" s="88">
        <v>47.0</v>
      </c>
      <c r="AE30" s="88" t="s">
        <v>270</v>
      </c>
      <c r="AH30" s="87" t="s">
        <v>463</v>
      </c>
      <c r="AN30" s="88">
        <v>237624.0</v>
      </c>
      <c r="AO30" s="88">
        <v>33228.0</v>
      </c>
      <c r="AP30" s="88">
        <v>33228.0</v>
      </c>
      <c r="AQ30" s="88">
        <v>12.729</v>
      </c>
      <c r="AS30" s="88">
        <v>1417.0</v>
      </c>
      <c r="AT30" s="88">
        <v>232.0</v>
      </c>
      <c r="AU30" s="88">
        <v>6.108</v>
      </c>
      <c r="AV30" s="88">
        <v>49.287</v>
      </c>
      <c r="AW30" s="88" t="s">
        <v>280</v>
      </c>
      <c r="AX30" s="88">
        <v>5.281</v>
      </c>
      <c r="AY30" s="88">
        <v>1.0</v>
      </c>
      <c r="AZ30" s="88">
        <v>1.0</v>
      </c>
      <c r="BB30" s="88">
        <v>364.0</v>
      </c>
      <c r="BC30" s="88">
        <v>180.0</v>
      </c>
      <c r="BD30" s="88">
        <v>0.0</v>
      </c>
      <c r="BE30" s="88">
        <v>99.45</v>
      </c>
      <c r="BF30" s="88">
        <v>108.0</v>
      </c>
      <c r="BG30" s="88">
        <v>41.0</v>
      </c>
      <c r="BH30" s="88">
        <v>0.0</v>
      </c>
      <c r="BI30" s="88">
        <v>12.0</v>
      </c>
      <c r="BJ30" s="88">
        <v>7.0</v>
      </c>
      <c r="BK30" s="88">
        <v>0.0</v>
      </c>
      <c r="BP30" s="88" t="s">
        <v>468</v>
      </c>
      <c r="BQ30" s="88">
        <v>0.089</v>
      </c>
      <c r="BV30" s="88" t="s">
        <v>273</v>
      </c>
      <c r="BW30" s="88">
        <v>1.1</v>
      </c>
      <c r="BX30" s="88">
        <v>9.0</v>
      </c>
      <c r="BY30" s="88">
        <v>2.0</v>
      </c>
      <c r="BZ30" s="88">
        <v>0.33</v>
      </c>
      <c r="CA30" s="88">
        <v>0.0</v>
      </c>
      <c r="CB30" s="88">
        <v>29.0</v>
      </c>
      <c r="CC30" s="88">
        <v>0.0</v>
      </c>
      <c r="CI30" s="87" t="s">
        <v>463</v>
      </c>
      <c r="CJ30" s="89">
        <v>46037.65891203703</v>
      </c>
    </row>
    <row r="31">
      <c r="A31" s="87" t="s">
        <v>469</v>
      </c>
      <c r="D31" s="88">
        <v>8.0</v>
      </c>
      <c r="E31" s="88" t="s">
        <v>449</v>
      </c>
      <c r="F31" s="88"/>
      <c r="G31" s="88" t="s">
        <v>261</v>
      </c>
      <c r="H31" s="88">
        <v>200.0</v>
      </c>
      <c r="I31" s="88" t="s">
        <v>262</v>
      </c>
      <c r="J31" s="88" t="s">
        <v>263</v>
      </c>
      <c r="L31" s="88" t="s">
        <v>470</v>
      </c>
      <c r="M31" s="88">
        <v>53.0</v>
      </c>
      <c r="N31" s="88">
        <v>510.0</v>
      </c>
      <c r="O31" s="88" t="s">
        <v>471</v>
      </c>
      <c r="P31" s="88">
        <v>180.0</v>
      </c>
      <c r="Q31" s="88">
        <v>1107.0</v>
      </c>
      <c r="R31" s="88" t="s">
        <v>472</v>
      </c>
      <c r="S31" s="88">
        <v>170.0</v>
      </c>
      <c r="T31" s="88">
        <v>1025.0</v>
      </c>
      <c r="V31" s="88">
        <v>0.0</v>
      </c>
      <c r="W31" s="88" t="s">
        <v>473</v>
      </c>
      <c r="X31" s="88">
        <v>28.0</v>
      </c>
      <c r="Z31" s="88">
        <v>0.0</v>
      </c>
      <c r="AA31" s="88" t="s">
        <v>288</v>
      </c>
      <c r="AB31" s="88">
        <v>34.0</v>
      </c>
      <c r="AC31" s="88" t="s">
        <v>474</v>
      </c>
      <c r="AD31" s="88">
        <v>35.0</v>
      </c>
      <c r="AE31" s="88" t="s">
        <v>270</v>
      </c>
      <c r="AH31" s="87" t="s">
        <v>469</v>
      </c>
      <c r="AN31" s="88">
        <v>238993.0</v>
      </c>
      <c r="AO31" s="88">
        <v>33607.0</v>
      </c>
      <c r="AP31" s="88">
        <v>33607.0</v>
      </c>
      <c r="AQ31" s="88">
        <v>12.874</v>
      </c>
      <c r="AS31" s="88">
        <v>1539.0</v>
      </c>
      <c r="AT31" s="88">
        <v>243.0</v>
      </c>
      <c r="AU31" s="88">
        <v>6.333</v>
      </c>
      <c r="AV31" s="88">
        <v>56.273</v>
      </c>
      <c r="AW31" s="88" t="s">
        <v>304</v>
      </c>
      <c r="AX31" s="88">
        <v>5.457</v>
      </c>
      <c r="AY31" s="88">
        <v>1.0</v>
      </c>
      <c r="AZ31" s="88">
        <v>1.0</v>
      </c>
      <c r="BB31" s="88">
        <v>362.0</v>
      </c>
      <c r="BC31" s="88">
        <v>180.0</v>
      </c>
      <c r="BD31" s="88">
        <v>0.0</v>
      </c>
      <c r="BE31" s="88">
        <v>99.45</v>
      </c>
      <c r="BF31" s="88">
        <v>108.0</v>
      </c>
      <c r="BG31" s="88">
        <v>41.0</v>
      </c>
      <c r="BH31" s="88">
        <v>0.0</v>
      </c>
      <c r="BI31" s="88">
        <v>12.0</v>
      </c>
      <c r="BJ31" s="88">
        <v>7.0</v>
      </c>
      <c r="BK31" s="88">
        <v>0.0</v>
      </c>
      <c r="BP31" s="88" t="s">
        <v>475</v>
      </c>
      <c r="BQ31" s="88">
        <v>0.165</v>
      </c>
      <c r="BV31" s="88" t="s">
        <v>273</v>
      </c>
      <c r="BW31" s="88">
        <v>1.1</v>
      </c>
      <c r="BX31" s="88">
        <v>8.0</v>
      </c>
      <c r="BY31" s="88">
        <v>2.0</v>
      </c>
      <c r="BZ31" s="88">
        <v>0.25</v>
      </c>
      <c r="CA31" s="88">
        <v>0.0</v>
      </c>
      <c r="CB31" s="88">
        <v>27.0</v>
      </c>
      <c r="CC31" s="88">
        <v>0.0</v>
      </c>
      <c r="CI31" s="87" t="s">
        <v>469</v>
      </c>
      <c r="CJ31" s="89">
        <v>46037.65887731482</v>
      </c>
    </row>
    <row r="32">
      <c r="A32" s="87" t="s">
        <v>476</v>
      </c>
      <c r="D32" s="88">
        <v>2.0</v>
      </c>
      <c r="E32" s="88" t="s">
        <v>345</v>
      </c>
      <c r="F32" s="87" t="s">
        <v>477</v>
      </c>
      <c r="G32" s="88" t="s">
        <v>261</v>
      </c>
      <c r="H32" s="88">
        <v>200.0</v>
      </c>
      <c r="I32" s="88" t="s">
        <v>262</v>
      </c>
      <c r="J32" s="88" t="s">
        <v>263</v>
      </c>
      <c r="L32" s="88" t="s">
        <v>478</v>
      </c>
      <c r="M32" s="88">
        <v>71.0</v>
      </c>
      <c r="N32" s="88">
        <v>624.0</v>
      </c>
      <c r="O32" s="88" t="s">
        <v>479</v>
      </c>
      <c r="P32" s="88">
        <v>147.0</v>
      </c>
      <c r="Q32" s="88">
        <v>879.0</v>
      </c>
      <c r="S32" s="88">
        <v>0.0</v>
      </c>
      <c r="T32" s="88">
        <v>0.0</v>
      </c>
      <c r="V32" s="88">
        <v>0.0</v>
      </c>
      <c r="W32" s="88" t="s">
        <v>480</v>
      </c>
      <c r="X32" s="88">
        <v>50.0</v>
      </c>
      <c r="Z32" s="88">
        <v>0.0</v>
      </c>
      <c r="AA32" s="88" t="s">
        <v>287</v>
      </c>
      <c r="AB32" s="88">
        <v>16.0</v>
      </c>
      <c r="AC32" s="88" t="s">
        <v>288</v>
      </c>
      <c r="AD32" s="88">
        <v>34.0</v>
      </c>
      <c r="AE32" s="88" t="s">
        <v>270</v>
      </c>
      <c r="AH32" s="87" t="s">
        <v>476</v>
      </c>
      <c r="AN32" s="88">
        <v>192624.0</v>
      </c>
      <c r="AO32" s="88">
        <v>35461.0</v>
      </c>
      <c r="AP32" s="88">
        <v>35461.0</v>
      </c>
      <c r="AQ32" s="88">
        <v>13.584</v>
      </c>
      <c r="AS32" s="88">
        <v>2892.0</v>
      </c>
      <c r="AT32" s="88">
        <v>453.0</v>
      </c>
      <c r="AU32" s="88">
        <v>6.384</v>
      </c>
      <c r="AV32" s="88">
        <v>37.62</v>
      </c>
      <c r="AW32" s="88" t="s">
        <v>280</v>
      </c>
      <c r="AX32" s="88">
        <v>12.179</v>
      </c>
      <c r="AY32" s="88">
        <v>3.0</v>
      </c>
      <c r="AZ32" s="88">
        <v>1.0</v>
      </c>
      <c r="BB32" s="88">
        <v>8.0</v>
      </c>
      <c r="BC32" s="88">
        <v>4.0</v>
      </c>
      <c r="BD32" s="88">
        <v>0.0</v>
      </c>
      <c r="BE32" s="88">
        <v>2.21</v>
      </c>
      <c r="BF32" s="88">
        <v>131.0</v>
      </c>
      <c r="BG32" s="88">
        <v>50.0</v>
      </c>
      <c r="BH32" s="88">
        <v>0.0</v>
      </c>
      <c r="BI32" s="88">
        <v>14.0</v>
      </c>
      <c r="BJ32" s="88">
        <v>9.0</v>
      </c>
      <c r="BK32" s="88">
        <v>0.0</v>
      </c>
      <c r="BP32" s="88" t="s">
        <v>481</v>
      </c>
      <c r="BQ32" s="88">
        <v>0.088</v>
      </c>
      <c r="BV32" s="88" t="s">
        <v>273</v>
      </c>
      <c r="BW32" s="88">
        <v>1.1</v>
      </c>
      <c r="BX32" s="88">
        <v>2.0</v>
      </c>
      <c r="BY32" s="88">
        <v>0.0</v>
      </c>
      <c r="BZ32" s="88">
        <v>0.0</v>
      </c>
      <c r="CA32" s="88">
        <v>0.0</v>
      </c>
      <c r="CB32" s="88">
        <v>6.0</v>
      </c>
      <c r="CC32" s="88">
        <v>0.0</v>
      </c>
      <c r="CI32" s="87" t="s">
        <v>476</v>
      </c>
      <c r="CJ32" s="89">
        <v>46037.659004629626</v>
      </c>
    </row>
    <row r="33">
      <c r="A33" s="87" t="s">
        <v>482</v>
      </c>
      <c r="B33" s="88" t="s">
        <v>336</v>
      </c>
      <c r="C33" s="88" t="s">
        <v>337</v>
      </c>
      <c r="D33" s="88">
        <v>1.0</v>
      </c>
      <c r="E33" s="88" t="s">
        <v>345</v>
      </c>
      <c r="F33" s="87" t="s">
        <v>477</v>
      </c>
      <c r="G33" s="88" t="s">
        <v>261</v>
      </c>
      <c r="H33" s="88">
        <v>200.0</v>
      </c>
      <c r="I33" s="88" t="s">
        <v>262</v>
      </c>
      <c r="J33" s="88" t="s">
        <v>263</v>
      </c>
      <c r="L33" s="88" t="s">
        <v>483</v>
      </c>
      <c r="M33" s="88">
        <v>65.0</v>
      </c>
      <c r="N33" s="88">
        <v>601.0</v>
      </c>
      <c r="O33" s="88" t="s">
        <v>484</v>
      </c>
      <c r="P33" s="88">
        <v>173.0</v>
      </c>
      <c r="Q33" s="88">
        <v>1047.0</v>
      </c>
      <c r="R33" s="88" t="s">
        <v>485</v>
      </c>
      <c r="S33" s="88">
        <v>124.0</v>
      </c>
      <c r="T33" s="88">
        <v>756.0</v>
      </c>
      <c r="V33" s="88">
        <v>0.0</v>
      </c>
      <c r="W33" s="88" t="s">
        <v>486</v>
      </c>
      <c r="X33" s="88">
        <v>52.0</v>
      </c>
      <c r="Z33" s="88">
        <v>0.0</v>
      </c>
      <c r="AA33" s="88" t="s">
        <v>287</v>
      </c>
      <c r="AB33" s="88">
        <v>16.0</v>
      </c>
      <c r="AC33" s="88" t="s">
        <v>288</v>
      </c>
      <c r="AD33" s="88">
        <v>34.0</v>
      </c>
      <c r="AE33" s="88" t="s">
        <v>270</v>
      </c>
      <c r="AH33" s="87" t="s">
        <v>482</v>
      </c>
      <c r="AN33" s="88">
        <v>189058.0</v>
      </c>
      <c r="AO33" s="88">
        <v>34087.0</v>
      </c>
      <c r="AP33" s="88">
        <v>34087.0</v>
      </c>
      <c r="AQ33" s="88">
        <v>13.058</v>
      </c>
      <c r="AS33" s="88">
        <v>2434.0</v>
      </c>
      <c r="AT33" s="88">
        <v>374.0</v>
      </c>
      <c r="AU33" s="88">
        <v>6.508</v>
      </c>
      <c r="AV33" s="88">
        <v>37.668</v>
      </c>
      <c r="AW33" s="88" t="s">
        <v>280</v>
      </c>
      <c r="AX33" s="88">
        <v>10.531</v>
      </c>
      <c r="AY33" s="88">
        <v>4.0</v>
      </c>
      <c r="AZ33" s="88">
        <v>1.0</v>
      </c>
      <c r="BB33" s="88">
        <v>4.0</v>
      </c>
      <c r="BC33" s="88">
        <v>2.0</v>
      </c>
      <c r="BD33" s="88">
        <v>0.0</v>
      </c>
      <c r="BE33" s="88">
        <v>1.1</v>
      </c>
      <c r="BF33" s="88">
        <v>128.0</v>
      </c>
      <c r="BG33" s="88">
        <v>50.0</v>
      </c>
      <c r="BH33" s="88">
        <v>0.0</v>
      </c>
      <c r="BI33" s="88">
        <v>23.0</v>
      </c>
      <c r="BJ33" s="88">
        <v>14.0</v>
      </c>
      <c r="BK33" s="88">
        <v>0.0</v>
      </c>
      <c r="BP33" s="88" t="s">
        <v>487</v>
      </c>
      <c r="BQ33" s="88">
        <v>0.092</v>
      </c>
      <c r="BV33" s="88" t="s">
        <v>273</v>
      </c>
      <c r="BW33" s="88">
        <v>1.1</v>
      </c>
      <c r="BX33" s="88">
        <v>1.0</v>
      </c>
      <c r="BY33" s="88">
        <v>0.0</v>
      </c>
      <c r="BZ33" s="88">
        <v>0.0</v>
      </c>
      <c r="CA33" s="88">
        <v>0.0</v>
      </c>
      <c r="CB33" s="88">
        <v>3.0</v>
      </c>
      <c r="CC33" s="88">
        <v>0.0</v>
      </c>
      <c r="CI33" s="87" t="s">
        <v>482</v>
      </c>
      <c r="CJ33" s="89">
        <v>46037.65928240741</v>
      </c>
    </row>
    <row r="34">
      <c r="A34" s="87" t="s">
        <v>488</v>
      </c>
      <c r="B34" s="88" t="s">
        <v>336</v>
      </c>
      <c r="C34" s="88" t="s">
        <v>337</v>
      </c>
      <c r="E34" s="88" t="s">
        <v>345</v>
      </c>
      <c r="F34" s="90" t="s">
        <v>489</v>
      </c>
      <c r="G34" s="88" t="s">
        <v>261</v>
      </c>
      <c r="H34" s="88">
        <v>200.0</v>
      </c>
      <c r="I34" s="88" t="s">
        <v>262</v>
      </c>
      <c r="J34" s="88" t="s">
        <v>263</v>
      </c>
      <c r="L34" s="88" t="s">
        <v>490</v>
      </c>
      <c r="M34" s="88">
        <v>64.0</v>
      </c>
      <c r="N34" s="88">
        <v>580.0</v>
      </c>
      <c r="O34" s="88" t="s">
        <v>491</v>
      </c>
      <c r="P34" s="88">
        <v>160.0</v>
      </c>
      <c r="Q34" s="88">
        <v>988.0</v>
      </c>
      <c r="R34" s="88" t="s">
        <v>492</v>
      </c>
      <c r="S34" s="88">
        <v>109.0</v>
      </c>
      <c r="T34" s="88">
        <v>668.0</v>
      </c>
      <c r="V34" s="88">
        <v>0.0</v>
      </c>
      <c r="W34" s="88" t="s">
        <v>493</v>
      </c>
      <c r="X34" s="88">
        <v>57.0</v>
      </c>
      <c r="Z34" s="88">
        <v>0.0</v>
      </c>
      <c r="AA34" s="88" t="s">
        <v>287</v>
      </c>
      <c r="AB34" s="88">
        <v>16.0</v>
      </c>
      <c r="AC34" s="88" t="s">
        <v>288</v>
      </c>
      <c r="AD34" s="88">
        <v>34.0</v>
      </c>
      <c r="AE34" s="88" t="s">
        <v>270</v>
      </c>
      <c r="AH34" s="87" t="s">
        <v>488</v>
      </c>
      <c r="AN34" s="88">
        <v>189077.0</v>
      </c>
      <c r="AO34" s="88">
        <v>34040.0</v>
      </c>
      <c r="AP34" s="88">
        <v>34040.0</v>
      </c>
      <c r="AQ34" s="88">
        <v>13.04</v>
      </c>
      <c r="AS34" s="88">
        <v>2384.0</v>
      </c>
      <c r="AT34" s="88">
        <v>375.0</v>
      </c>
      <c r="AU34" s="88">
        <v>6.357</v>
      </c>
      <c r="AV34" s="88">
        <v>33.879</v>
      </c>
      <c r="AW34" s="88" t="s">
        <v>280</v>
      </c>
      <c r="AX34" s="88">
        <v>10.576</v>
      </c>
      <c r="AY34" s="88">
        <v>5.0</v>
      </c>
      <c r="AZ34" s="88">
        <v>1.0</v>
      </c>
      <c r="BB34" s="88">
        <v>4.0</v>
      </c>
      <c r="BC34" s="88">
        <v>2.0</v>
      </c>
      <c r="BD34" s="88">
        <v>0.0</v>
      </c>
      <c r="BE34" s="88">
        <v>1.1</v>
      </c>
      <c r="BF34" s="88">
        <v>128.0</v>
      </c>
      <c r="BG34" s="88">
        <v>51.0</v>
      </c>
      <c r="BH34" s="88">
        <v>0.0</v>
      </c>
      <c r="BI34" s="88">
        <v>24.0</v>
      </c>
      <c r="BJ34" s="88">
        <v>14.0</v>
      </c>
      <c r="BK34" s="88">
        <v>0.0</v>
      </c>
      <c r="BP34" s="88" t="s">
        <v>494</v>
      </c>
      <c r="BQ34" s="88">
        <v>0.109</v>
      </c>
      <c r="BV34" s="88" t="s">
        <v>273</v>
      </c>
      <c r="BW34" s="88">
        <v>1.1</v>
      </c>
      <c r="CI34" s="87" t="s">
        <v>488</v>
      </c>
      <c r="CJ34" s="89">
        <v>46037.65950231482</v>
      </c>
    </row>
    <row r="35">
      <c r="A35" s="87" t="s">
        <v>495</v>
      </c>
      <c r="B35" s="88" t="s">
        <v>336</v>
      </c>
      <c r="C35" s="88" t="s">
        <v>337</v>
      </c>
      <c r="E35" s="88" t="s">
        <v>345</v>
      </c>
      <c r="F35" s="87" t="s">
        <v>339</v>
      </c>
      <c r="G35" s="88" t="s">
        <v>261</v>
      </c>
      <c r="H35" s="88">
        <v>200.0</v>
      </c>
      <c r="I35" s="88" t="s">
        <v>262</v>
      </c>
      <c r="J35" s="88" t="s">
        <v>263</v>
      </c>
      <c r="L35" s="88" t="s">
        <v>496</v>
      </c>
      <c r="M35" s="88">
        <v>66.0</v>
      </c>
      <c r="N35" s="88">
        <v>600.0</v>
      </c>
      <c r="O35" s="88" t="s">
        <v>497</v>
      </c>
      <c r="P35" s="88">
        <v>151.0</v>
      </c>
      <c r="Q35" s="88">
        <v>925.0</v>
      </c>
      <c r="R35" s="88" t="s">
        <v>498</v>
      </c>
      <c r="S35" s="88">
        <v>114.0</v>
      </c>
      <c r="T35" s="88">
        <v>708.0</v>
      </c>
      <c r="V35" s="88">
        <v>0.0</v>
      </c>
      <c r="W35" s="88" t="s">
        <v>499</v>
      </c>
      <c r="X35" s="88">
        <v>53.0</v>
      </c>
      <c r="Z35" s="88">
        <v>0.0</v>
      </c>
      <c r="AA35" s="88" t="s">
        <v>287</v>
      </c>
      <c r="AB35" s="88">
        <v>16.0</v>
      </c>
      <c r="AC35" s="88" t="s">
        <v>288</v>
      </c>
      <c r="AD35" s="88">
        <v>34.0</v>
      </c>
      <c r="AE35" s="88" t="s">
        <v>270</v>
      </c>
      <c r="AH35" s="87" t="s">
        <v>495</v>
      </c>
      <c r="AN35" s="88">
        <v>189480.0</v>
      </c>
      <c r="AO35" s="88">
        <v>34440.0</v>
      </c>
      <c r="AP35" s="88">
        <v>34440.0</v>
      </c>
      <c r="AQ35" s="88">
        <v>13.193</v>
      </c>
      <c r="AS35" s="88">
        <v>2409.0</v>
      </c>
      <c r="AT35" s="88">
        <v>378.0</v>
      </c>
      <c r="AU35" s="88">
        <v>6.373</v>
      </c>
      <c r="AV35" s="88">
        <v>38.19</v>
      </c>
      <c r="AW35" s="88" t="s">
        <v>280</v>
      </c>
      <c r="AX35" s="88">
        <v>10.417</v>
      </c>
      <c r="AY35" s="88">
        <v>5.0</v>
      </c>
      <c r="AZ35" s="88">
        <v>1.0</v>
      </c>
      <c r="BB35" s="88">
        <v>4.0</v>
      </c>
      <c r="BC35" s="88">
        <v>2.0</v>
      </c>
      <c r="BD35" s="88">
        <v>0.0</v>
      </c>
      <c r="BE35" s="88">
        <v>1.1</v>
      </c>
      <c r="BF35" s="88">
        <v>129.0</v>
      </c>
      <c r="BG35" s="88">
        <v>52.0</v>
      </c>
      <c r="BH35" s="88">
        <v>0.0</v>
      </c>
      <c r="BI35" s="88">
        <v>23.0</v>
      </c>
      <c r="BJ35" s="88">
        <v>11.0</v>
      </c>
      <c r="BK35" s="88">
        <v>0.0</v>
      </c>
      <c r="BP35" s="88" t="s">
        <v>500</v>
      </c>
      <c r="BQ35" s="88">
        <v>0.083</v>
      </c>
      <c r="BV35" s="88" t="s">
        <v>273</v>
      </c>
      <c r="BW35" s="88">
        <v>1.1</v>
      </c>
      <c r="CI35" s="87" t="s">
        <v>495</v>
      </c>
      <c r="CJ35" s="89">
        <v>46037.65950231482</v>
      </c>
    </row>
    <row r="36">
      <c r="A36" s="87" t="s">
        <v>477</v>
      </c>
      <c r="D36" s="88">
        <v>1.0</v>
      </c>
      <c r="E36" s="88" t="s">
        <v>260</v>
      </c>
      <c r="F36" s="88"/>
      <c r="G36" s="88" t="s">
        <v>261</v>
      </c>
      <c r="H36" s="88">
        <v>200.0</v>
      </c>
      <c r="I36" s="88" t="s">
        <v>262</v>
      </c>
      <c r="J36" s="88" t="s">
        <v>263</v>
      </c>
      <c r="L36" s="88" t="s">
        <v>501</v>
      </c>
      <c r="M36" s="88">
        <v>57.0</v>
      </c>
      <c r="N36" s="88">
        <v>495.0</v>
      </c>
      <c r="O36" s="88" t="s">
        <v>502</v>
      </c>
      <c r="P36" s="88">
        <v>98.0</v>
      </c>
      <c r="Q36" s="88">
        <v>600.0</v>
      </c>
      <c r="R36" s="88" t="s">
        <v>503</v>
      </c>
      <c r="S36" s="88">
        <v>166.0</v>
      </c>
      <c r="T36" s="88">
        <v>1024.0</v>
      </c>
      <c r="V36" s="88">
        <v>0.0</v>
      </c>
      <c r="W36" s="88" t="s">
        <v>504</v>
      </c>
      <c r="X36" s="88">
        <v>28.0</v>
      </c>
      <c r="Z36" s="88">
        <v>0.0</v>
      </c>
      <c r="AA36" s="88" t="s">
        <v>505</v>
      </c>
      <c r="AB36" s="88">
        <v>35.0</v>
      </c>
      <c r="AC36" s="88" t="s">
        <v>506</v>
      </c>
      <c r="AD36" s="88">
        <v>31.0</v>
      </c>
      <c r="AE36" s="88" t="s">
        <v>270</v>
      </c>
      <c r="AH36" s="87" t="s">
        <v>477</v>
      </c>
      <c r="AN36" s="88">
        <v>167735.0</v>
      </c>
      <c r="AO36" s="88">
        <v>27447.0</v>
      </c>
      <c r="AP36" s="88">
        <v>27447.0</v>
      </c>
      <c r="AQ36" s="88">
        <v>10.514</v>
      </c>
      <c r="AS36" s="88">
        <v>981.0</v>
      </c>
      <c r="AT36" s="88">
        <v>150.0</v>
      </c>
      <c r="AU36" s="88">
        <v>6.54</v>
      </c>
      <c r="AV36" s="88">
        <v>41.69</v>
      </c>
      <c r="AW36" s="88" t="s">
        <v>280</v>
      </c>
      <c r="AX36" s="88">
        <v>5.938</v>
      </c>
      <c r="AY36" s="88">
        <v>1.0</v>
      </c>
      <c r="AZ36" s="88">
        <v>1.0</v>
      </c>
      <c r="BB36" s="88">
        <v>369.0</v>
      </c>
      <c r="BC36" s="88">
        <v>180.0</v>
      </c>
      <c r="BD36" s="88">
        <v>0.0</v>
      </c>
      <c r="BE36" s="88">
        <v>99.45</v>
      </c>
      <c r="BF36" s="88">
        <v>95.0</v>
      </c>
      <c r="BG36" s="88">
        <v>42.0</v>
      </c>
      <c r="BH36" s="88">
        <v>0.0</v>
      </c>
      <c r="BI36" s="88">
        <v>2.0</v>
      </c>
      <c r="BJ36" s="88">
        <v>2.0</v>
      </c>
      <c r="BK36" s="88">
        <v>0.0</v>
      </c>
      <c r="BP36" s="88" t="s">
        <v>507</v>
      </c>
      <c r="BQ36" s="88">
        <v>0.164</v>
      </c>
      <c r="BV36" s="88" t="s">
        <v>273</v>
      </c>
      <c r="BW36" s="88">
        <v>1.1</v>
      </c>
      <c r="BX36" s="88">
        <v>1.0</v>
      </c>
      <c r="BY36" s="88">
        <v>0.0</v>
      </c>
      <c r="BZ36" s="88">
        <v>0.0</v>
      </c>
      <c r="CA36" s="88">
        <v>0.0</v>
      </c>
      <c r="CB36" s="88">
        <v>3.0</v>
      </c>
      <c r="CC36" s="88">
        <v>0.0</v>
      </c>
      <c r="CI36" s="87" t="s">
        <v>477</v>
      </c>
      <c r="CJ36" s="89">
        <v>46037.65887731482</v>
      </c>
    </row>
    <row r="37">
      <c r="A37" s="87" t="s">
        <v>508</v>
      </c>
      <c r="B37" s="88" t="s">
        <v>336</v>
      </c>
      <c r="C37" s="88" t="s">
        <v>337</v>
      </c>
      <c r="E37" s="88" t="s">
        <v>260</v>
      </c>
      <c r="F37" s="88"/>
      <c r="G37" s="88" t="s">
        <v>261</v>
      </c>
      <c r="H37" s="88">
        <v>200.0</v>
      </c>
      <c r="I37" s="88" t="s">
        <v>262</v>
      </c>
      <c r="J37" s="88" t="s">
        <v>263</v>
      </c>
      <c r="L37" s="88" t="s">
        <v>509</v>
      </c>
      <c r="M37" s="88">
        <v>75.0</v>
      </c>
      <c r="N37" s="88">
        <v>702.0</v>
      </c>
      <c r="O37" s="88" t="s">
        <v>510</v>
      </c>
      <c r="P37" s="88">
        <v>136.0</v>
      </c>
      <c r="Q37" s="88">
        <v>863.0</v>
      </c>
      <c r="R37" s="88" t="s">
        <v>510</v>
      </c>
      <c r="S37" s="88">
        <v>136.0</v>
      </c>
      <c r="T37" s="88">
        <v>863.0</v>
      </c>
      <c r="V37" s="88">
        <v>0.0</v>
      </c>
      <c r="W37" s="88" t="s">
        <v>511</v>
      </c>
      <c r="X37" s="88">
        <v>59.0</v>
      </c>
      <c r="Z37" s="88">
        <v>0.0</v>
      </c>
      <c r="AA37" s="88" t="s">
        <v>287</v>
      </c>
      <c r="AB37" s="88">
        <v>16.0</v>
      </c>
      <c r="AC37" s="88" t="s">
        <v>288</v>
      </c>
      <c r="AD37" s="88">
        <v>34.0</v>
      </c>
      <c r="AE37" s="88" t="s">
        <v>270</v>
      </c>
      <c r="AH37" s="87" t="s">
        <v>508</v>
      </c>
      <c r="AN37" s="88">
        <v>188287.0</v>
      </c>
      <c r="AO37" s="88">
        <v>33945.0</v>
      </c>
      <c r="AP37" s="88">
        <v>33945.0</v>
      </c>
      <c r="AQ37" s="88">
        <v>13.004</v>
      </c>
      <c r="AS37" s="88">
        <v>2184.0</v>
      </c>
      <c r="AT37" s="88">
        <v>357.0</v>
      </c>
      <c r="AU37" s="88">
        <v>6.118</v>
      </c>
      <c r="AV37" s="88">
        <v>33.634</v>
      </c>
      <c r="AW37" s="88" t="s">
        <v>280</v>
      </c>
      <c r="AX37" s="88">
        <v>9.754</v>
      </c>
      <c r="AY37" s="88">
        <v>4.0</v>
      </c>
      <c r="AZ37" s="88">
        <v>1.0</v>
      </c>
      <c r="BB37" s="88">
        <v>5.0</v>
      </c>
      <c r="BC37" s="88">
        <v>3.0</v>
      </c>
      <c r="BD37" s="88">
        <v>0.0</v>
      </c>
      <c r="BE37" s="88">
        <v>1.66</v>
      </c>
      <c r="BF37" s="88">
        <v>128.0</v>
      </c>
      <c r="BG37" s="88">
        <v>51.0</v>
      </c>
      <c r="BH37" s="88">
        <v>0.0</v>
      </c>
      <c r="BI37" s="88">
        <v>20.0</v>
      </c>
      <c r="BJ37" s="88">
        <v>12.0</v>
      </c>
      <c r="BK37" s="88">
        <v>0.0</v>
      </c>
      <c r="BP37" s="88" t="s">
        <v>512</v>
      </c>
      <c r="BQ37" s="88">
        <v>0.136</v>
      </c>
      <c r="BV37" s="88" t="s">
        <v>273</v>
      </c>
      <c r="BW37" s="88">
        <v>1.1</v>
      </c>
      <c r="CI37" s="87" t="s">
        <v>508</v>
      </c>
      <c r="CJ37" s="89">
        <v>46037.65918981482</v>
      </c>
    </row>
    <row r="38">
      <c r="A38" s="87" t="s">
        <v>513</v>
      </c>
      <c r="D38" s="88">
        <v>1.0</v>
      </c>
      <c r="E38" s="88" t="s">
        <v>260</v>
      </c>
      <c r="F38" s="88"/>
      <c r="G38" s="88" t="s">
        <v>261</v>
      </c>
      <c r="H38" s="88">
        <v>200.0</v>
      </c>
      <c r="I38" s="88" t="s">
        <v>262</v>
      </c>
      <c r="J38" s="88" t="s">
        <v>263</v>
      </c>
      <c r="L38" s="88" t="s">
        <v>514</v>
      </c>
      <c r="M38" s="88">
        <v>62.0</v>
      </c>
      <c r="N38" s="88">
        <v>566.0</v>
      </c>
      <c r="O38" s="88" t="s">
        <v>515</v>
      </c>
      <c r="P38" s="88">
        <v>184.0</v>
      </c>
      <c r="Q38" s="88">
        <v>1167.0</v>
      </c>
      <c r="R38" s="88" t="s">
        <v>516</v>
      </c>
      <c r="S38" s="88">
        <v>111.0</v>
      </c>
      <c r="T38" s="88">
        <v>699.0</v>
      </c>
      <c r="V38" s="88">
        <v>0.0</v>
      </c>
      <c r="W38" s="88" t="s">
        <v>517</v>
      </c>
      <c r="X38" s="88">
        <v>71.0</v>
      </c>
      <c r="Z38" s="88">
        <v>0.0</v>
      </c>
      <c r="AA38" s="88" t="s">
        <v>287</v>
      </c>
      <c r="AB38" s="88">
        <v>16.0</v>
      </c>
      <c r="AC38" s="88" t="s">
        <v>288</v>
      </c>
      <c r="AD38" s="88">
        <v>34.0</v>
      </c>
      <c r="AE38" s="88" t="s">
        <v>270</v>
      </c>
      <c r="AH38" s="87" t="s">
        <v>513</v>
      </c>
      <c r="AN38" s="88">
        <v>193872.0</v>
      </c>
      <c r="AO38" s="88">
        <v>36595.0</v>
      </c>
      <c r="AP38" s="88">
        <v>36595.0</v>
      </c>
      <c r="AQ38" s="88">
        <v>14.019</v>
      </c>
      <c r="AS38" s="88">
        <v>3033.0</v>
      </c>
      <c r="AT38" s="88">
        <v>463.0</v>
      </c>
      <c r="AU38" s="88">
        <v>6.551</v>
      </c>
      <c r="AV38" s="88">
        <v>39.828</v>
      </c>
      <c r="AW38" s="88" t="s">
        <v>280</v>
      </c>
      <c r="AX38" s="88">
        <v>12.391</v>
      </c>
      <c r="AY38" s="88">
        <v>3.0</v>
      </c>
      <c r="AZ38" s="88">
        <v>1.0</v>
      </c>
      <c r="BB38" s="88">
        <v>4.0</v>
      </c>
      <c r="BC38" s="88">
        <v>2.0</v>
      </c>
      <c r="BD38" s="88">
        <v>0.0</v>
      </c>
      <c r="BE38" s="88">
        <v>1.1</v>
      </c>
      <c r="BF38" s="88">
        <v>135.0</v>
      </c>
      <c r="BG38" s="88">
        <v>58.0</v>
      </c>
      <c r="BH38" s="88">
        <v>0.0</v>
      </c>
      <c r="BI38" s="88">
        <v>18.0</v>
      </c>
      <c r="BJ38" s="88">
        <v>12.0</v>
      </c>
      <c r="BK38" s="88">
        <v>0.0</v>
      </c>
      <c r="BP38" s="88" t="s">
        <v>518</v>
      </c>
      <c r="BQ38" s="88">
        <v>0.082</v>
      </c>
      <c r="BV38" s="88" t="s">
        <v>273</v>
      </c>
      <c r="BW38" s="88">
        <v>1.1</v>
      </c>
      <c r="BX38" s="88">
        <v>1.0</v>
      </c>
      <c r="BY38" s="88">
        <v>1.0</v>
      </c>
      <c r="BZ38" s="88">
        <v>1.0</v>
      </c>
      <c r="CA38" s="88">
        <v>0.0</v>
      </c>
      <c r="CB38" s="88">
        <v>4.0</v>
      </c>
      <c r="CC38" s="88">
        <v>0.0</v>
      </c>
      <c r="CI38" s="87" t="s">
        <v>513</v>
      </c>
      <c r="CJ38" s="89">
        <v>46037.6590625</v>
      </c>
    </row>
    <row r="39">
      <c r="A39" s="87" t="s">
        <v>519</v>
      </c>
      <c r="D39" s="88">
        <v>2.0</v>
      </c>
      <c r="E39" s="88" t="s">
        <v>260</v>
      </c>
      <c r="F39" s="88"/>
      <c r="G39" s="88" t="s">
        <v>261</v>
      </c>
      <c r="H39" s="88">
        <v>200.0</v>
      </c>
      <c r="I39" s="88" t="s">
        <v>262</v>
      </c>
      <c r="J39" s="88" t="s">
        <v>263</v>
      </c>
      <c r="L39" s="88" t="s">
        <v>520</v>
      </c>
      <c r="M39" s="88">
        <v>82.0</v>
      </c>
      <c r="N39" s="88">
        <v>783.0</v>
      </c>
      <c r="O39" s="88" t="s">
        <v>521</v>
      </c>
      <c r="P39" s="88">
        <v>173.0</v>
      </c>
      <c r="Q39" s="88">
        <v>1090.0</v>
      </c>
      <c r="S39" s="88">
        <v>0.0</v>
      </c>
      <c r="T39" s="88">
        <v>0.0</v>
      </c>
      <c r="V39" s="88">
        <v>0.0</v>
      </c>
      <c r="W39" s="88" t="s">
        <v>520</v>
      </c>
      <c r="X39" s="88">
        <v>82.0</v>
      </c>
      <c r="Z39" s="88">
        <v>0.0</v>
      </c>
      <c r="AA39" s="88" t="s">
        <v>287</v>
      </c>
      <c r="AB39" s="88">
        <v>16.0</v>
      </c>
      <c r="AC39" s="88" t="s">
        <v>288</v>
      </c>
      <c r="AD39" s="88">
        <v>34.0</v>
      </c>
      <c r="AE39" s="88" t="s">
        <v>270</v>
      </c>
      <c r="AH39" s="87" t="s">
        <v>519</v>
      </c>
      <c r="AN39" s="88">
        <v>186114.0</v>
      </c>
      <c r="AO39" s="88">
        <v>32937.0</v>
      </c>
      <c r="AP39" s="88">
        <v>32937.0</v>
      </c>
      <c r="AQ39" s="88">
        <v>12.618</v>
      </c>
      <c r="AS39" s="88">
        <v>2019.0</v>
      </c>
      <c r="AT39" s="88">
        <v>321.0</v>
      </c>
      <c r="AU39" s="88">
        <v>6.29</v>
      </c>
      <c r="AV39" s="88">
        <v>43.025</v>
      </c>
      <c r="AW39" s="88" t="s">
        <v>280</v>
      </c>
      <c r="AX39" s="88">
        <v>9.097</v>
      </c>
      <c r="AY39" s="88">
        <v>2.0</v>
      </c>
      <c r="AZ39" s="88">
        <v>1.0</v>
      </c>
      <c r="BB39" s="88">
        <v>6.0</v>
      </c>
      <c r="BC39" s="88">
        <v>3.0</v>
      </c>
      <c r="BD39" s="88">
        <v>0.0</v>
      </c>
      <c r="BE39" s="88">
        <v>1.66</v>
      </c>
      <c r="BF39" s="88">
        <v>133.0</v>
      </c>
      <c r="BG39" s="88">
        <v>56.0</v>
      </c>
      <c r="BH39" s="88">
        <v>0.0</v>
      </c>
      <c r="BI39" s="88">
        <v>14.0</v>
      </c>
      <c r="BJ39" s="88">
        <v>9.0</v>
      </c>
      <c r="BK39" s="88">
        <v>0.0</v>
      </c>
      <c r="BP39" s="88" t="s">
        <v>522</v>
      </c>
      <c r="BQ39" s="88">
        <v>0.197</v>
      </c>
      <c r="BV39" s="88" t="s">
        <v>273</v>
      </c>
      <c r="BW39" s="88">
        <v>1.1</v>
      </c>
      <c r="BX39" s="88">
        <v>3.0</v>
      </c>
      <c r="BY39" s="88">
        <v>1.0</v>
      </c>
      <c r="BZ39" s="88">
        <v>0.5</v>
      </c>
      <c r="CA39" s="88">
        <v>0.0</v>
      </c>
      <c r="CB39" s="88">
        <v>6.0</v>
      </c>
      <c r="CC39" s="88">
        <v>0.0</v>
      </c>
      <c r="CI39" s="87" t="s">
        <v>519</v>
      </c>
      <c r="CJ39" s="89">
        <v>46037.65895833333</v>
      </c>
    </row>
    <row r="40">
      <c r="A40" s="87" t="s">
        <v>523</v>
      </c>
      <c r="F40" s="88"/>
      <c r="G40" s="88" t="s">
        <v>261</v>
      </c>
      <c r="H40" s="88">
        <v>200.0</v>
      </c>
      <c r="I40" s="88" t="s">
        <v>262</v>
      </c>
      <c r="J40" s="88" t="s">
        <v>263</v>
      </c>
      <c r="L40" s="88" t="s">
        <v>524</v>
      </c>
      <c r="M40" s="88">
        <v>71.0</v>
      </c>
      <c r="N40" s="88">
        <v>678.0</v>
      </c>
      <c r="O40" s="88" t="s">
        <v>525</v>
      </c>
      <c r="P40" s="88">
        <v>93.0</v>
      </c>
      <c r="Q40" s="88">
        <v>568.0</v>
      </c>
      <c r="R40" s="88" t="s">
        <v>526</v>
      </c>
      <c r="S40" s="88">
        <v>114.0</v>
      </c>
      <c r="T40" s="88">
        <v>688.0</v>
      </c>
      <c r="V40" s="88">
        <v>0.0</v>
      </c>
      <c r="W40" s="88" t="s">
        <v>527</v>
      </c>
      <c r="X40" s="88">
        <v>59.0</v>
      </c>
      <c r="Z40" s="88">
        <v>0.0</v>
      </c>
      <c r="AA40" s="88" t="s">
        <v>287</v>
      </c>
      <c r="AB40" s="88">
        <v>16.0</v>
      </c>
      <c r="AC40" s="88" t="s">
        <v>288</v>
      </c>
      <c r="AD40" s="88">
        <v>34.0</v>
      </c>
      <c r="AE40" s="88" t="s">
        <v>270</v>
      </c>
      <c r="AH40" s="87" t="s">
        <v>523</v>
      </c>
      <c r="AN40" s="88">
        <v>188006.0</v>
      </c>
      <c r="AO40" s="88">
        <v>34543.0</v>
      </c>
      <c r="AP40" s="88">
        <v>34543.0</v>
      </c>
      <c r="AQ40" s="88">
        <v>13.233</v>
      </c>
      <c r="AS40" s="88">
        <v>2525.0</v>
      </c>
      <c r="AT40" s="88">
        <v>389.0</v>
      </c>
      <c r="AU40" s="88">
        <v>6.491</v>
      </c>
      <c r="AV40" s="88">
        <v>47.967</v>
      </c>
      <c r="AW40" s="88" t="s">
        <v>280</v>
      </c>
      <c r="AX40" s="88">
        <v>10.607</v>
      </c>
      <c r="AY40" s="88">
        <v>5.0</v>
      </c>
      <c r="AZ40" s="88">
        <v>1.0</v>
      </c>
      <c r="BB40" s="88">
        <v>4.0</v>
      </c>
      <c r="BC40" s="88">
        <v>2.0</v>
      </c>
      <c r="BD40" s="88">
        <v>0.0</v>
      </c>
      <c r="BE40" s="88">
        <v>1.1</v>
      </c>
      <c r="BF40" s="88">
        <v>128.0</v>
      </c>
      <c r="BG40" s="88">
        <v>51.0</v>
      </c>
      <c r="BH40" s="88">
        <v>0.0</v>
      </c>
      <c r="BI40" s="88">
        <v>16.0</v>
      </c>
      <c r="BJ40" s="88">
        <v>10.0</v>
      </c>
      <c r="BK40" s="88">
        <v>0.0</v>
      </c>
      <c r="BP40" s="88" t="s">
        <v>528</v>
      </c>
      <c r="BQ40" s="88">
        <v>0.092</v>
      </c>
      <c r="BV40" s="88" t="s">
        <v>273</v>
      </c>
      <c r="BW40" s="88">
        <v>1.1</v>
      </c>
      <c r="CI40" s="87" t="s">
        <v>523</v>
      </c>
      <c r="CJ40" s="89">
        <v>46037.65940972222</v>
      </c>
    </row>
    <row r="41">
      <c r="A41" s="87" t="s">
        <v>529</v>
      </c>
      <c r="F41" s="88"/>
      <c r="G41" s="88" t="s">
        <v>261</v>
      </c>
      <c r="H41" s="88">
        <v>200.0</v>
      </c>
      <c r="I41" s="88" t="s">
        <v>262</v>
      </c>
      <c r="J41" s="88" t="s">
        <v>263</v>
      </c>
      <c r="L41" s="88" t="s">
        <v>530</v>
      </c>
      <c r="M41" s="88">
        <v>70.0</v>
      </c>
      <c r="N41" s="88">
        <v>671.0</v>
      </c>
      <c r="O41" s="88" t="s">
        <v>531</v>
      </c>
      <c r="P41" s="88">
        <v>194.0</v>
      </c>
      <c r="Q41" s="88">
        <v>1183.0</v>
      </c>
      <c r="R41" s="88" t="s">
        <v>532</v>
      </c>
      <c r="S41" s="88">
        <v>110.0</v>
      </c>
      <c r="T41" s="88">
        <v>665.0</v>
      </c>
      <c r="V41" s="88">
        <v>0.0</v>
      </c>
      <c r="W41" s="88" t="s">
        <v>533</v>
      </c>
      <c r="X41" s="88">
        <v>61.0</v>
      </c>
      <c r="Z41" s="88">
        <v>0.0</v>
      </c>
      <c r="AA41" s="88" t="s">
        <v>287</v>
      </c>
      <c r="AB41" s="88">
        <v>16.0</v>
      </c>
      <c r="AC41" s="88" t="s">
        <v>288</v>
      </c>
      <c r="AD41" s="88">
        <v>34.0</v>
      </c>
      <c r="AE41" s="88" t="s">
        <v>270</v>
      </c>
      <c r="AH41" s="87" t="s">
        <v>529</v>
      </c>
      <c r="AN41" s="88">
        <v>190271.0</v>
      </c>
      <c r="AO41" s="88">
        <v>35069.0</v>
      </c>
      <c r="AP41" s="88">
        <v>35069.0</v>
      </c>
      <c r="AQ41" s="88">
        <v>13.434</v>
      </c>
      <c r="AS41" s="88">
        <v>2632.0</v>
      </c>
      <c r="AT41" s="88">
        <v>400.0</v>
      </c>
      <c r="AU41" s="88">
        <v>6.58</v>
      </c>
      <c r="AV41" s="88">
        <v>42.753</v>
      </c>
      <c r="AW41" s="88" t="s">
        <v>280</v>
      </c>
      <c r="AX41" s="88">
        <v>11.031</v>
      </c>
      <c r="AY41" s="88">
        <v>5.0</v>
      </c>
      <c r="AZ41" s="88">
        <v>1.0</v>
      </c>
      <c r="BB41" s="88">
        <v>4.0</v>
      </c>
      <c r="BC41" s="88">
        <v>2.0</v>
      </c>
      <c r="BD41" s="88">
        <v>0.0</v>
      </c>
      <c r="BE41" s="88">
        <v>1.1</v>
      </c>
      <c r="BF41" s="88">
        <v>131.0</v>
      </c>
      <c r="BG41" s="88">
        <v>54.0</v>
      </c>
      <c r="BH41" s="88">
        <v>0.0</v>
      </c>
      <c r="BI41" s="88">
        <v>20.0</v>
      </c>
      <c r="BJ41" s="88">
        <v>12.0</v>
      </c>
      <c r="BK41" s="88">
        <v>0.0</v>
      </c>
      <c r="BP41" s="88" t="s">
        <v>534</v>
      </c>
      <c r="BQ41" s="88">
        <v>0.116</v>
      </c>
      <c r="BV41" s="88" t="s">
        <v>273</v>
      </c>
      <c r="BW41" s="88">
        <v>1.1</v>
      </c>
      <c r="CI41" s="87" t="s">
        <v>529</v>
      </c>
      <c r="CJ41" s="89">
        <v>46037.65940972222</v>
      </c>
    </row>
    <row r="42">
      <c r="A42" s="87" t="s">
        <v>535</v>
      </c>
      <c r="F42" s="88"/>
      <c r="G42" s="88" t="s">
        <v>261</v>
      </c>
      <c r="H42" s="88">
        <v>200.0</v>
      </c>
      <c r="I42" s="88" t="s">
        <v>262</v>
      </c>
      <c r="J42" s="88" t="s">
        <v>263</v>
      </c>
      <c r="L42" s="88" t="s">
        <v>536</v>
      </c>
      <c r="M42" s="88">
        <v>64.0</v>
      </c>
      <c r="N42" s="88">
        <v>603.0</v>
      </c>
      <c r="O42" s="88" t="s">
        <v>537</v>
      </c>
      <c r="P42" s="88">
        <v>157.0</v>
      </c>
      <c r="Q42" s="88">
        <v>963.0</v>
      </c>
      <c r="R42" s="88" t="s">
        <v>538</v>
      </c>
      <c r="S42" s="88">
        <v>113.0</v>
      </c>
      <c r="T42" s="88">
        <v>682.0</v>
      </c>
      <c r="V42" s="88">
        <v>0.0</v>
      </c>
      <c r="W42" s="88" t="s">
        <v>539</v>
      </c>
      <c r="X42" s="88">
        <v>62.0</v>
      </c>
      <c r="Z42" s="88">
        <v>0.0</v>
      </c>
      <c r="AA42" s="88" t="s">
        <v>287</v>
      </c>
      <c r="AB42" s="88">
        <v>16.0</v>
      </c>
      <c r="AC42" s="88" t="s">
        <v>288</v>
      </c>
      <c r="AD42" s="88">
        <v>34.0</v>
      </c>
      <c r="AE42" s="88" t="s">
        <v>270</v>
      </c>
      <c r="AH42" s="87" t="s">
        <v>535</v>
      </c>
      <c r="AN42" s="88">
        <v>190253.0</v>
      </c>
      <c r="AO42" s="88">
        <v>35226.0</v>
      </c>
      <c r="AP42" s="88">
        <v>35226.0</v>
      </c>
      <c r="AQ42" s="88">
        <v>13.494</v>
      </c>
      <c r="AS42" s="88">
        <v>2797.0</v>
      </c>
      <c r="AT42" s="88">
        <v>426.0</v>
      </c>
      <c r="AU42" s="88">
        <v>6.566</v>
      </c>
      <c r="AV42" s="88">
        <v>42.465</v>
      </c>
      <c r="AW42" s="88" t="s">
        <v>280</v>
      </c>
      <c r="AX42" s="88">
        <v>11.496</v>
      </c>
      <c r="AY42" s="88">
        <v>3.0</v>
      </c>
      <c r="AZ42" s="88">
        <v>1.0</v>
      </c>
      <c r="BB42" s="88">
        <v>4.0</v>
      </c>
      <c r="BC42" s="88">
        <v>2.0</v>
      </c>
      <c r="BD42" s="88">
        <v>0.0</v>
      </c>
      <c r="BE42" s="88">
        <v>1.1</v>
      </c>
      <c r="BF42" s="88">
        <v>129.0</v>
      </c>
      <c r="BG42" s="88">
        <v>52.0</v>
      </c>
      <c r="BH42" s="88">
        <v>0.0</v>
      </c>
      <c r="BI42" s="88">
        <v>18.0</v>
      </c>
      <c r="BJ42" s="88">
        <v>12.0</v>
      </c>
      <c r="BK42" s="88">
        <v>0.0</v>
      </c>
      <c r="BP42" s="88" t="s">
        <v>540</v>
      </c>
      <c r="BQ42" s="88">
        <v>0.137</v>
      </c>
      <c r="BV42" s="88" t="s">
        <v>273</v>
      </c>
      <c r="BW42" s="88">
        <v>1.1</v>
      </c>
      <c r="CI42" s="87" t="s">
        <v>535</v>
      </c>
      <c r="CJ42" s="89">
        <v>46037.659004629626</v>
      </c>
    </row>
    <row r="43">
      <c r="A43" s="87" t="s">
        <v>541</v>
      </c>
      <c r="F43" s="88"/>
      <c r="G43" s="88" t="s">
        <v>261</v>
      </c>
      <c r="H43" s="88">
        <v>200.0</v>
      </c>
      <c r="I43" s="88" t="s">
        <v>262</v>
      </c>
      <c r="J43" s="88" t="s">
        <v>263</v>
      </c>
      <c r="L43" s="88" t="s">
        <v>542</v>
      </c>
      <c r="M43" s="88">
        <v>65.0</v>
      </c>
      <c r="N43" s="88">
        <v>599.0</v>
      </c>
      <c r="O43" s="88" t="s">
        <v>543</v>
      </c>
      <c r="P43" s="88">
        <v>194.0</v>
      </c>
      <c r="Q43" s="88">
        <v>1201.0</v>
      </c>
      <c r="R43" s="88" t="s">
        <v>544</v>
      </c>
      <c r="S43" s="88">
        <v>102.0</v>
      </c>
      <c r="T43" s="88">
        <v>618.0</v>
      </c>
      <c r="V43" s="88">
        <v>0.0</v>
      </c>
      <c r="W43" s="88" t="s">
        <v>545</v>
      </c>
      <c r="X43" s="88">
        <v>62.0</v>
      </c>
      <c r="Z43" s="88">
        <v>0.0</v>
      </c>
      <c r="AA43" s="88" t="s">
        <v>287</v>
      </c>
      <c r="AB43" s="88">
        <v>16.0</v>
      </c>
      <c r="AC43" s="88" t="s">
        <v>288</v>
      </c>
      <c r="AD43" s="88">
        <v>34.0</v>
      </c>
      <c r="AE43" s="88" t="s">
        <v>270</v>
      </c>
      <c r="AH43" s="87" t="s">
        <v>541</v>
      </c>
      <c r="AN43" s="88">
        <v>188748.0</v>
      </c>
      <c r="AO43" s="88">
        <v>34691.0</v>
      </c>
      <c r="AP43" s="88">
        <v>34691.0</v>
      </c>
      <c r="AQ43" s="88">
        <v>13.289</v>
      </c>
      <c r="AS43" s="88">
        <v>2565.0</v>
      </c>
      <c r="AT43" s="88">
        <v>399.0</v>
      </c>
      <c r="AU43" s="88">
        <v>6.429</v>
      </c>
      <c r="AV43" s="88">
        <v>43.314</v>
      </c>
      <c r="AW43" s="88" t="s">
        <v>280</v>
      </c>
      <c r="AX43" s="88">
        <v>10.854</v>
      </c>
      <c r="AY43" s="88">
        <v>4.0</v>
      </c>
      <c r="AZ43" s="88">
        <v>1.0</v>
      </c>
      <c r="BB43" s="88">
        <v>4.0</v>
      </c>
      <c r="BC43" s="88">
        <v>2.0</v>
      </c>
      <c r="BD43" s="88">
        <v>0.0</v>
      </c>
      <c r="BE43" s="88">
        <v>1.1</v>
      </c>
      <c r="BF43" s="88">
        <v>131.0</v>
      </c>
      <c r="BG43" s="88">
        <v>54.0</v>
      </c>
      <c r="BH43" s="88">
        <v>0.0</v>
      </c>
      <c r="BI43" s="88">
        <v>17.0</v>
      </c>
      <c r="BJ43" s="88">
        <v>11.0</v>
      </c>
      <c r="BK43" s="88">
        <v>0.0</v>
      </c>
      <c r="BP43" s="88" t="s">
        <v>546</v>
      </c>
      <c r="BQ43" s="88">
        <v>0.175</v>
      </c>
      <c r="BV43" s="88" t="s">
        <v>273</v>
      </c>
      <c r="BW43" s="88">
        <v>1.1</v>
      </c>
      <c r="CI43" s="87" t="s">
        <v>541</v>
      </c>
      <c r="CJ43" s="89">
        <v>46037.659224537034</v>
      </c>
    </row>
    <row r="44">
      <c r="A44" s="87" t="s">
        <v>547</v>
      </c>
      <c r="F44" s="88"/>
      <c r="G44" s="88" t="s">
        <v>261</v>
      </c>
      <c r="H44" s="88">
        <v>200.0</v>
      </c>
      <c r="I44" s="88" t="s">
        <v>262</v>
      </c>
      <c r="J44" s="88" t="s">
        <v>263</v>
      </c>
      <c r="L44" s="88" t="s">
        <v>548</v>
      </c>
      <c r="M44" s="88">
        <v>65.0</v>
      </c>
      <c r="N44" s="88">
        <v>612.0</v>
      </c>
      <c r="O44" s="88" t="s">
        <v>549</v>
      </c>
      <c r="P44" s="88">
        <v>166.0</v>
      </c>
      <c r="Q44" s="88">
        <v>1024.0</v>
      </c>
      <c r="R44" s="88" t="s">
        <v>550</v>
      </c>
      <c r="S44" s="88">
        <v>116.0</v>
      </c>
      <c r="T44" s="88">
        <v>723.0</v>
      </c>
      <c r="V44" s="88">
        <v>0.0</v>
      </c>
      <c r="W44" s="88" t="s">
        <v>551</v>
      </c>
      <c r="X44" s="88">
        <v>59.0</v>
      </c>
      <c r="Z44" s="88">
        <v>0.0</v>
      </c>
      <c r="AA44" s="88" t="s">
        <v>287</v>
      </c>
      <c r="AB44" s="88">
        <v>16.0</v>
      </c>
      <c r="AC44" s="88" t="s">
        <v>288</v>
      </c>
      <c r="AD44" s="88">
        <v>34.0</v>
      </c>
      <c r="AE44" s="88" t="s">
        <v>270</v>
      </c>
      <c r="AH44" s="87" t="s">
        <v>547</v>
      </c>
      <c r="AN44" s="88">
        <v>190161.0</v>
      </c>
      <c r="AO44" s="88">
        <v>35404.0</v>
      </c>
      <c r="AP44" s="88">
        <v>35404.0</v>
      </c>
      <c r="AQ44" s="88">
        <v>13.563</v>
      </c>
      <c r="AS44" s="88">
        <v>2967.0</v>
      </c>
      <c r="AT44" s="88">
        <v>434.0</v>
      </c>
      <c r="AU44" s="88">
        <v>6.836</v>
      </c>
      <c r="AV44" s="88">
        <v>45.637</v>
      </c>
      <c r="AW44" s="88" t="s">
        <v>280</v>
      </c>
      <c r="AX44" s="88">
        <v>12.084</v>
      </c>
      <c r="AY44" s="88">
        <v>4.0</v>
      </c>
      <c r="AZ44" s="88">
        <v>1.0</v>
      </c>
      <c r="BB44" s="88">
        <v>4.0</v>
      </c>
      <c r="BC44" s="88">
        <v>2.0</v>
      </c>
      <c r="BD44" s="88">
        <v>0.0</v>
      </c>
      <c r="BE44" s="88">
        <v>1.1</v>
      </c>
      <c r="BF44" s="88">
        <v>131.0</v>
      </c>
      <c r="BG44" s="88">
        <v>54.0</v>
      </c>
      <c r="BH44" s="88">
        <v>0.0</v>
      </c>
      <c r="BI44" s="88">
        <v>16.0</v>
      </c>
      <c r="BJ44" s="88">
        <v>10.0</v>
      </c>
      <c r="BK44" s="88">
        <v>0.0</v>
      </c>
      <c r="BP44" s="88" t="s">
        <v>552</v>
      </c>
      <c r="BQ44" s="88">
        <v>0.128</v>
      </c>
      <c r="BV44" s="88" t="s">
        <v>273</v>
      </c>
      <c r="BW44" s="88">
        <v>1.1</v>
      </c>
      <c r="CI44" s="87" t="s">
        <v>547</v>
      </c>
      <c r="CJ44" s="89">
        <v>46037.659224537034</v>
      </c>
    </row>
    <row r="45">
      <c r="A45" s="87" t="s">
        <v>553</v>
      </c>
      <c r="D45" s="88">
        <v>1.0</v>
      </c>
      <c r="E45" s="88" t="s">
        <v>260</v>
      </c>
      <c r="F45" s="88"/>
      <c r="G45" s="88" t="s">
        <v>261</v>
      </c>
      <c r="H45" s="88">
        <v>200.0</v>
      </c>
      <c r="I45" s="88" t="s">
        <v>262</v>
      </c>
      <c r="J45" s="88" t="s">
        <v>263</v>
      </c>
      <c r="L45" s="88" t="s">
        <v>554</v>
      </c>
      <c r="M45" s="88">
        <v>66.0</v>
      </c>
      <c r="N45" s="88">
        <v>650.0</v>
      </c>
      <c r="O45" s="88" t="s">
        <v>555</v>
      </c>
      <c r="P45" s="88">
        <v>153.0</v>
      </c>
      <c r="Q45" s="88">
        <v>971.0</v>
      </c>
      <c r="R45" s="88" t="s">
        <v>556</v>
      </c>
      <c r="S45" s="88">
        <v>89.0</v>
      </c>
      <c r="T45" s="88">
        <v>569.0</v>
      </c>
      <c r="V45" s="88">
        <v>0.0</v>
      </c>
      <c r="W45" s="88" t="s">
        <v>557</v>
      </c>
      <c r="X45" s="88">
        <v>61.0</v>
      </c>
      <c r="Z45" s="88">
        <v>0.0</v>
      </c>
      <c r="AA45" s="88" t="s">
        <v>287</v>
      </c>
      <c r="AB45" s="88">
        <v>16.0</v>
      </c>
      <c r="AC45" s="88" t="s">
        <v>288</v>
      </c>
      <c r="AD45" s="88">
        <v>34.0</v>
      </c>
      <c r="AE45" s="88" t="s">
        <v>270</v>
      </c>
      <c r="AH45" s="87" t="s">
        <v>553</v>
      </c>
      <c r="AN45" s="88">
        <v>188565.0</v>
      </c>
      <c r="AO45" s="88">
        <v>34443.0</v>
      </c>
      <c r="AP45" s="88">
        <v>34443.0</v>
      </c>
      <c r="AQ45" s="88">
        <v>13.194</v>
      </c>
      <c r="AS45" s="88">
        <v>2620.0</v>
      </c>
      <c r="AT45" s="88">
        <v>397.0</v>
      </c>
      <c r="AU45" s="88">
        <v>6.599</v>
      </c>
      <c r="AV45" s="88">
        <v>48.987</v>
      </c>
      <c r="AW45" s="88" t="s">
        <v>280</v>
      </c>
      <c r="AX45" s="88">
        <v>10.759</v>
      </c>
      <c r="AY45" s="88">
        <v>3.0</v>
      </c>
      <c r="AZ45" s="88">
        <v>1.0</v>
      </c>
      <c r="BB45" s="88">
        <v>4.0</v>
      </c>
      <c r="BC45" s="88">
        <v>2.0</v>
      </c>
      <c r="BD45" s="88">
        <v>0.0</v>
      </c>
      <c r="BE45" s="88">
        <v>1.1</v>
      </c>
      <c r="BF45" s="88">
        <v>129.0</v>
      </c>
      <c r="BG45" s="88">
        <v>52.0</v>
      </c>
      <c r="BH45" s="88">
        <v>0.0</v>
      </c>
      <c r="BI45" s="88">
        <v>18.0</v>
      </c>
      <c r="BJ45" s="88">
        <v>12.0</v>
      </c>
      <c r="BK45" s="88">
        <v>0.0</v>
      </c>
      <c r="BP45" s="88" t="s">
        <v>558</v>
      </c>
      <c r="BQ45" s="88">
        <v>0.126</v>
      </c>
      <c r="BV45" s="88" t="s">
        <v>273</v>
      </c>
      <c r="BW45" s="88">
        <v>1.1</v>
      </c>
      <c r="BX45" s="88">
        <v>1.0</v>
      </c>
      <c r="BY45" s="88">
        <v>0.0</v>
      </c>
      <c r="BZ45" s="88">
        <v>0.0</v>
      </c>
      <c r="CA45" s="88">
        <v>0.0</v>
      </c>
      <c r="CB45" s="88">
        <v>3.0</v>
      </c>
      <c r="CC45" s="88">
        <v>0.0</v>
      </c>
      <c r="CI45" s="87" t="s">
        <v>553</v>
      </c>
      <c r="CJ45" s="89">
        <v>46037.6590625</v>
      </c>
    </row>
    <row r="46">
      <c r="A46" s="87" t="s">
        <v>559</v>
      </c>
      <c r="B46" s="88" t="s">
        <v>336</v>
      </c>
      <c r="C46" s="88" t="s">
        <v>337</v>
      </c>
      <c r="D46" s="88">
        <v>1.0</v>
      </c>
      <c r="E46" s="88" t="s">
        <v>345</v>
      </c>
      <c r="F46" s="90" t="s">
        <v>489</v>
      </c>
      <c r="G46" s="88" t="s">
        <v>261</v>
      </c>
      <c r="H46" s="88">
        <v>200.0</v>
      </c>
      <c r="I46" s="88" t="s">
        <v>262</v>
      </c>
      <c r="J46" s="88" t="s">
        <v>263</v>
      </c>
      <c r="L46" s="88" t="s">
        <v>560</v>
      </c>
      <c r="M46" s="88">
        <v>52.0</v>
      </c>
      <c r="N46" s="88">
        <v>484.0</v>
      </c>
      <c r="O46" s="88" t="s">
        <v>561</v>
      </c>
      <c r="P46" s="88">
        <v>153.0</v>
      </c>
      <c r="Q46" s="88">
        <v>957.0</v>
      </c>
      <c r="R46" s="88" t="s">
        <v>562</v>
      </c>
      <c r="S46" s="88">
        <v>110.0</v>
      </c>
      <c r="T46" s="88">
        <v>691.0</v>
      </c>
      <c r="V46" s="88">
        <v>0.0</v>
      </c>
      <c r="W46" s="88" t="s">
        <v>563</v>
      </c>
      <c r="X46" s="88">
        <v>51.0</v>
      </c>
      <c r="Z46" s="88">
        <v>0.0</v>
      </c>
      <c r="AA46" s="88" t="s">
        <v>287</v>
      </c>
      <c r="AB46" s="88">
        <v>16.0</v>
      </c>
      <c r="AC46" s="88" t="s">
        <v>288</v>
      </c>
      <c r="AD46" s="88">
        <v>34.0</v>
      </c>
      <c r="AE46" s="88" t="s">
        <v>270</v>
      </c>
      <c r="AH46" s="87" t="s">
        <v>559</v>
      </c>
      <c r="AN46" s="88">
        <v>191916.0</v>
      </c>
      <c r="AO46" s="88">
        <v>34862.0</v>
      </c>
      <c r="AP46" s="88">
        <v>34862.0</v>
      </c>
      <c r="AQ46" s="88">
        <v>13.355</v>
      </c>
      <c r="AS46" s="88">
        <v>2554.0</v>
      </c>
      <c r="AT46" s="88">
        <v>404.0</v>
      </c>
      <c r="AU46" s="88">
        <v>6.322</v>
      </c>
      <c r="AV46" s="88">
        <v>34.1</v>
      </c>
      <c r="AW46" s="88" t="s">
        <v>280</v>
      </c>
      <c r="AX46" s="88">
        <v>11.042</v>
      </c>
      <c r="AY46" s="88">
        <v>4.0</v>
      </c>
      <c r="AZ46" s="88">
        <v>1.0</v>
      </c>
      <c r="BB46" s="88">
        <v>4.0</v>
      </c>
      <c r="BC46" s="88">
        <v>2.0</v>
      </c>
      <c r="BD46" s="88">
        <v>0.0</v>
      </c>
      <c r="BE46" s="88">
        <v>1.1</v>
      </c>
      <c r="BF46" s="88">
        <v>130.0</v>
      </c>
      <c r="BG46" s="88">
        <v>53.0</v>
      </c>
      <c r="BH46" s="88">
        <v>0.0</v>
      </c>
      <c r="BI46" s="88">
        <v>27.0</v>
      </c>
      <c r="BJ46" s="88">
        <v>13.0</v>
      </c>
      <c r="BK46" s="88">
        <v>0.0</v>
      </c>
      <c r="BP46" s="88" t="s">
        <v>564</v>
      </c>
      <c r="BQ46" s="88">
        <v>0.146</v>
      </c>
      <c r="BV46" s="88" t="s">
        <v>273</v>
      </c>
      <c r="BW46" s="88">
        <v>1.1</v>
      </c>
      <c r="BX46" s="88">
        <v>1.0</v>
      </c>
      <c r="BY46" s="88">
        <v>0.0</v>
      </c>
      <c r="BZ46" s="88">
        <v>0.0</v>
      </c>
      <c r="CA46" s="88">
        <v>0.0</v>
      </c>
      <c r="CB46" s="88">
        <v>3.0</v>
      </c>
      <c r="CC46" s="88">
        <v>0.0</v>
      </c>
      <c r="CI46" s="87" t="s">
        <v>559</v>
      </c>
      <c r="CJ46" s="89">
        <v>46037.659166666665</v>
      </c>
    </row>
    <row r="47">
      <c r="A47" s="87" t="s">
        <v>565</v>
      </c>
      <c r="B47" s="88" t="s">
        <v>336</v>
      </c>
      <c r="C47" s="88" t="s">
        <v>337</v>
      </c>
      <c r="E47" s="88" t="s">
        <v>345</v>
      </c>
      <c r="F47" s="90" t="s">
        <v>489</v>
      </c>
      <c r="G47" s="88" t="s">
        <v>261</v>
      </c>
      <c r="H47" s="88">
        <v>200.0</v>
      </c>
      <c r="I47" s="88" t="s">
        <v>262</v>
      </c>
      <c r="J47" s="88" t="s">
        <v>263</v>
      </c>
      <c r="L47" s="88" t="s">
        <v>566</v>
      </c>
      <c r="M47" s="88">
        <v>63.0</v>
      </c>
      <c r="N47" s="88">
        <v>561.0</v>
      </c>
      <c r="O47" s="88" t="s">
        <v>567</v>
      </c>
      <c r="P47" s="88">
        <v>146.0</v>
      </c>
      <c r="Q47" s="88">
        <v>897.0</v>
      </c>
      <c r="S47" s="88">
        <v>0.0</v>
      </c>
      <c r="T47" s="88">
        <v>0.0</v>
      </c>
      <c r="V47" s="88">
        <v>0.0</v>
      </c>
      <c r="W47" s="88" t="s">
        <v>568</v>
      </c>
      <c r="X47" s="88">
        <v>52.0</v>
      </c>
      <c r="Z47" s="88">
        <v>0.0</v>
      </c>
      <c r="AA47" s="88" t="s">
        <v>287</v>
      </c>
      <c r="AB47" s="88">
        <v>16.0</v>
      </c>
      <c r="AC47" s="88" t="s">
        <v>288</v>
      </c>
      <c r="AD47" s="88">
        <v>34.0</v>
      </c>
      <c r="AE47" s="88" t="s">
        <v>270</v>
      </c>
      <c r="AH47" s="87" t="s">
        <v>565</v>
      </c>
      <c r="AN47" s="88">
        <v>182917.0</v>
      </c>
      <c r="AO47" s="88">
        <v>32492.0</v>
      </c>
      <c r="AP47" s="88">
        <v>32492.0</v>
      </c>
      <c r="AQ47" s="88">
        <v>12.447</v>
      </c>
      <c r="AS47" s="88">
        <v>1765.0</v>
      </c>
      <c r="AT47" s="88">
        <v>290.0</v>
      </c>
      <c r="AU47" s="88">
        <v>6.086</v>
      </c>
      <c r="AV47" s="88">
        <v>48.377</v>
      </c>
      <c r="AW47" s="88" t="s">
        <v>280</v>
      </c>
      <c r="AX47" s="88">
        <v>8.038</v>
      </c>
      <c r="AY47" s="88">
        <v>3.0</v>
      </c>
      <c r="AZ47" s="88">
        <v>1.0</v>
      </c>
      <c r="BB47" s="88">
        <v>6.0</v>
      </c>
      <c r="BC47" s="88">
        <v>3.0</v>
      </c>
      <c r="BD47" s="88">
        <v>0.0</v>
      </c>
      <c r="BE47" s="88">
        <v>1.66</v>
      </c>
      <c r="BF47" s="88">
        <v>129.0</v>
      </c>
      <c r="BG47" s="88">
        <v>49.0</v>
      </c>
      <c r="BH47" s="88">
        <v>0.0</v>
      </c>
      <c r="BI47" s="88">
        <v>12.0</v>
      </c>
      <c r="BJ47" s="88">
        <v>7.0</v>
      </c>
      <c r="BK47" s="88">
        <v>0.0</v>
      </c>
      <c r="BP47" s="88" t="s">
        <v>569</v>
      </c>
      <c r="BQ47" s="88">
        <v>0.196</v>
      </c>
      <c r="BV47" s="88" t="s">
        <v>273</v>
      </c>
      <c r="BW47" s="88">
        <v>1.1</v>
      </c>
      <c r="CI47" s="87" t="s">
        <v>565</v>
      </c>
      <c r="CJ47" s="89">
        <v>46037.6590162037</v>
      </c>
    </row>
    <row r="48">
      <c r="A48" s="87" t="s">
        <v>570</v>
      </c>
      <c r="B48" s="88" t="s">
        <v>336</v>
      </c>
      <c r="C48" s="88" t="s">
        <v>423</v>
      </c>
      <c r="D48" s="88">
        <v>4.0</v>
      </c>
      <c r="E48" s="88" t="s">
        <v>571</v>
      </c>
      <c r="F48" s="90" t="s">
        <v>489</v>
      </c>
      <c r="G48" s="88" t="s">
        <v>261</v>
      </c>
      <c r="H48" s="88">
        <v>200.0</v>
      </c>
      <c r="I48" s="88" t="s">
        <v>262</v>
      </c>
      <c r="J48" s="88" t="s">
        <v>263</v>
      </c>
      <c r="L48" s="88" t="s">
        <v>572</v>
      </c>
      <c r="M48" s="88">
        <v>45.0</v>
      </c>
      <c r="N48" s="88">
        <v>407.0</v>
      </c>
      <c r="O48" s="88" t="s">
        <v>573</v>
      </c>
      <c r="P48" s="88">
        <v>206.0</v>
      </c>
      <c r="Q48" s="88">
        <v>1247.0</v>
      </c>
      <c r="R48" s="88" t="s">
        <v>574</v>
      </c>
      <c r="S48" s="88">
        <v>167.0</v>
      </c>
      <c r="T48" s="88">
        <v>1019.0</v>
      </c>
      <c r="V48" s="88">
        <v>0.0</v>
      </c>
      <c r="W48" s="88" t="s">
        <v>575</v>
      </c>
      <c r="X48" s="88">
        <v>24.0</v>
      </c>
      <c r="Z48" s="88">
        <v>0.0</v>
      </c>
      <c r="AA48" s="88" t="s">
        <v>288</v>
      </c>
      <c r="AB48" s="88">
        <v>34.0</v>
      </c>
      <c r="AC48" s="88" t="s">
        <v>576</v>
      </c>
      <c r="AD48" s="88">
        <v>38.0</v>
      </c>
      <c r="AE48" s="88" t="s">
        <v>270</v>
      </c>
      <c r="AH48" s="87" t="s">
        <v>570</v>
      </c>
      <c r="AN48" s="88">
        <v>241573.0</v>
      </c>
      <c r="AO48" s="88">
        <v>34552.0</v>
      </c>
      <c r="AP48" s="88">
        <v>34552.0</v>
      </c>
      <c r="AQ48" s="88">
        <v>13.236</v>
      </c>
      <c r="AS48" s="88">
        <v>1666.0</v>
      </c>
      <c r="AT48" s="88">
        <v>273.0</v>
      </c>
      <c r="AU48" s="88">
        <v>6.103</v>
      </c>
      <c r="AV48" s="88">
        <v>47.132</v>
      </c>
      <c r="AW48" s="88" t="s">
        <v>280</v>
      </c>
      <c r="AX48" s="88">
        <v>5.938</v>
      </c>
      <c r="AY48" s="88">
        <v>1.0</v>
      </c>
      <c r="AZ48" s="88">
        <v>1.0</v>
      </c>
      <c r="BB48" s="88">
        <v>369.0</v>
      </c>
      <c r="BC48" s="88">
        <v>180.0</v>
      </c>
      <c r="BD48" s="88">
        <v>0.0</v>
      </c>
      <c r="BE48" s="88">
        <v>99.45</v>
      </c>
      <c r="BF48" s="88">
        <v>108.0</v>
      </c>
      <c r="BG48" s="88">
        <v>41.0</v>
      </c>
      <c r="BH48" s="88">
        <v>0.0</v>
      </c>
      <c r="BI48" s="88">
        <v>12.0</v>
      </c>
      <c r="BJ48" s="88">
        <v>7.0</v>
      </c>
      <c r="BK48" s="88">
        <v>0.0</v>
      </c>
      <c r="BP48" s="88" t="s">
        <v>577</v>
      </c>
      <c r="BQ48" s="88">
        <v>0.283</v>
      </c>
      <c r="BV48" s="88" t="s">
        <v>273</v>
      </c>
      <c r="BW48" s="88">
        <v>1.1</v>
      </c>
      <c r="BX48" s="88">
        <v>7.0</v>
      </c>
      <c r="BY48" s="88">
        <v>1.0</v>
      </c>
      <c r="BZ48" s="88">
        <v>0.25</v>
      </c>
      <c r="CA48" s="88">
        <v>0.0</v>
      </c>
      <c r="CB48" s="88">
        <v>20.0</v>
      </c>
      <c r="CC48" s="88">
        <v>0.0</v>
      </c>
      <c r="CI48" s="87" t="s">
        <v>570</v>
      </c>
      <c r="CJ48" s="89">
        <v>46037.658900462964</v>
      </c>
    </row>
    <row r="49">
      <c r="A49" s="87" t="s">
        <v>578</v>
      </c>
      <c r="B49" s="88" t="s">
        <v>336</v>
      </c>
      <c r="C49" s="88" t="s">
        <v>337</v>
      </c>
      <c r="E49" s="88" t="s">
        <v>345</v>
      </c>
      <c r="F49" s="90" t="s">
        <v>579</v>
      </c>
      <c r="G49" s="88" t="s">
        <v>261</v>
      </c>
      <c r="H49" s="88">
        <v>200.0</v>
      </c>
      <c r="I49" s="88" t="s">
        <v>262</v>
      </c>
      <c r="J49" s="88" t="s">
        <v>263</v>
      </c>
      <c r="L49" s="88" t="s">
        <v>580</v>
      </c>
      <c r="M49" s="88">
        <v>62.0</v>
      </c>
      <c r="N49" s="88">
        <v>607.0</v>
      </c>
      <c r="O49" s="88" t="s">
        <v>581</v>
      </c>
      <c r="P49" s="88">
        <v>170.0</v>
      </c>
      <c r="Q49" s="88">
        <v>1068.0</v>
      </c>
      <c r="R49" s="88" t="s">
        <v>582</v>
      </c>
      <c r="S49" s="88">
        <v>118.0</v>
      </c>
      <c r="T49" s="88">
        <v>745.0</v>
      </c>
      <c r="V49" s="88">
        <v>0.0</v>
      </c>
      <c r="W49" s="88" t="s">
        <v>583</v>
      </c>
      <c r="X49" s="88">
        <v>61.0</v>
      </c>
      <c r="Z49" s="88">
        <v>0.0</v>
      </c>
      <c r="AA49" s="88" t="s">
        <v>287</v>
      </c>
      <c r="AB49" s="88">
        <v>16.0</v>
      </c>
      <c r="AC49" s="88" t="s">
        <v>288</v>
      </c>
      <c r="AD49" s="88">
        <v>34.0</v>
      </c>
      <c r="AE49" s="88" t="s">
        <v>270</v>
      </c>
      <c r="AH49" s="87" t="s">
        <v>578</v>
      </c>
      <c r="AN49" s="88">
        <v>190620.0</v>
      </c>
      <c r="AO49" s="88">
        <v>34575.0</v>
      </c>
      <c r="AP49" s="88">
        <v>34575.0</v>
      </c>
      <c r="AQ49" s="88">
        <v>13.245</v>
      </c>
      <c r="AS49" s="88">
        <v>2479.0</v>
      </c>
      <c r="AT49" s="88">
        <v>384.0</v>
      </c>
      <c r="AU49" s="88">
        <v>6.456</v>
      </c>
      <c r="AV49" s="88">
        <v>33.676</v>
      </c>
      <c r="AW49" s="88" t="s">
        <v>280</v>
      </c>
      <c r="AX49" s="88">
        <v>10.809</v>
      </c>
      <c r="AY49" s="88">
        <v>5.0</v>
      </c>
      <c r="AZ49" s="88">
        <v>1.0</v>
      </c>
      <c r="BB49" s="88">
        <v>4.0</v>
      </c>
      <c r="BC49" s="88">
        <v>2.0</v>
      </c>
      <c r="BD49" s="88">
        <v>0.0</v>
      </c>
      <c r="BE49" s="88">
        <v>1.1</v>
      </c>
      <c r="BF49" s="88">
        <v>132.0</v>
      </c>
      <c r="BG49" s="88">
        <v>55.0</v>
      </c>
      <c r="BH49" s="88">
        <v>0.0</v>
      </c>
      <c r="BI49" s="88">
        <v>23.0</v>
      </c>
      <c r="BJ49" s="88">
        <v>13.0</v>
      </c>
      <c r="BK49" s="88">
        <v>0.0</v>
      </c>
      <c r="BP49" s="88" t="s">
        <v>584</v>
      </c>
      <c r="BQ49" s="88">
        <v>0.065</v>
      </c>
      <c r="BV49" s="88" t="s">
        <v>273</v>
      </c>
      <c r="BW49" s="88">
        <v>1.1</v>
      </c>
      <c r="CI49" s="87" t="s">
        <v>578</v>
      </c>
      <c r="CJ49" s="89">
        <v>46037.65950231482</v>
      </c>
    </row>
    <row r="50">
      <c r="A50" s="87" t="s">
        <v>585</v>
      </c>
      <c r="B50" s="88" t="s">
        <v>336</v>
      </c>
      <c r="C50" s="88" t="s">
        <v>337</v>
      </c>
      <c r="E50" s="88" t="s">
        <v>345</v>
      </c>
      <c r="F50" s="90" t="s">
        <v>579</v>
      </c>
      <c r="G50" s="88" t="s">
        <v>261</v>
      </c>
      <c r="H50" s="88">
        <v>200.0</v>
      </c>
      <c r="I50" s="88" t="s">
        <v>262</v>
      </c>
      <c r="J50" s="88" t="s">
        <v>263</v>
      </c>
      <c r="L50" s="88" t="s">
        <v>586</v>
      </c>
      <c r="M50" s="88">
        <v>63.0</v>
      </c>
      <c r="N50" s="88">
        <v>579.0</v>
      </c>
      <c r="O50" s="88" t="s">
        <v>587</v>
      </c>
      <c r="P50" s="88">
        <v>147.0</v>
      </c>
      <c r="Q50" s="88">
        <v>893.0</v>
      </c>
      <c r="R50" s="88" t="s">
        <v>588</v>
      </c>
      <c r="S50" s="88">
        <v>131.0</v>
      </c>
      <c r="T50" s="88">
        <v>814.0</v>
      </c>
      <c r="V50" s="88">
        <v>0.0</v>
      </c>
      <c r="W50" s="88" t="s">
        <v>589</v>
      </c>
      <c r="X50" s="88">
        <v>55.0</v>
      </c>
      <c r="Z50" s="88">
        <v>0.0</v>
      </c>
      <c r="AA50" s="88" t="s">
        <v>287</v>
      </c>
      <c r="AB50" s="88">
        <v>16.0</v>
      </c>
      <c r="AC50" s="88" t="s">
        <v>288</v>
      </c>
      <c r="AD50" s="88">
        <v>34.0</v>
      </c>
      <c r="AE50" s="88" t="s">
        <v>270</v>
      </c>
      <c r="AH50" s="87" t="s">
        <v>585</v>
      </c>
      <c r="AN50" s="88">
        <v>193076.0</v>
      </c>
      <c r="AO50" s="88">
        <v>34983.0</v>
      </c>
      <c r="AP50" s="88">
        <v>34983.0</v>
      </c>
      <c r="AQ50" s="88">
        <v>13.401</v>
      </c>
      <c r="AS50" s="88">
        <v>2723.0</v>
      </c>
      <c r="AT50" s="88">
        <v>428.0</v>
      </c>
      <c r="AU50" s="88">
        <v>6.362</v>
      </c>
      <c r="AV50" s="88">
        <v>32.109</v>
      </c>
      <c r="AW50" s="88" t="s">
        <v>280</v>
      </c>
      <c r="AX50" s="88">
        <v>11.677</v>
      </c>
      <c r="AY50" s="88">
        <v>3.0</v>
      </c>
      <c r="AZ50" s="88">
        <v>1.0</v>
      </c>
      <c r="BB50" s="88">
        <v>5.0</v>
      </c>
      <c r="BC50" s="88">
        <v>3.0</v>
      </c>
      <c r="BD50" s="88">
        <v>0.0</v>
      </c>
      <c r="BE50" s="88">
        <v>1.66</v>
      </c>
      <c r="BF50" s="88">
        <v>129.0</v>
      </c>
      <c r="BG50" s="88">
        <v>52.0</v>
      </c>
      <c r="BH50" s="88">
        <v>0.0</v>
      </c>
      <c r="BI50" s="88">
        <v>27.0</v>
      </c>
      <c r="BJ50" s="88">
        <v>15.0</v>
      </c>
      <c r="BK50" s="88">
        <v>0.0</v>
      </c>
      <c r="BP50" s="88" t="s">
        <v>590</v>
      </c>
      <c r="BQ50" s="88">
        <v>0.128</v>
      </c>
      <c r="BV50" s="88" t="s">
        <v>273</v>
      </c>
      <c r="BW50" s="88">
        <v>1.1</v>
      </c>
      <c r="CI50" s="87" t="s">
        <v>585</v>
      </c>
      <c r="CJ50" s="89">
        <v>46037.659050925926</v>
      </c>
    </row>
    <row r="51">
      <c r="A51" s="87" t="s">
        <v>591</v>
      </c>
      <c r="B51" s="88" t="s">
        <v>336</v>
      </c>
      <c r="C51" s="88" t="s">
        <v>337</v>
      </c>
      <c r="E51" s="88" t="s">
        <v>345</v>
      </c>
      <c r="F51" s="90" t="s">
        <v>579</v>
      </c>
      <c r="G51" s="88" t="s">
        <v>261</v>
      </c>
      <c r="H51" s="88">
        <v>200.0</v>
      </c>
      <c r="I51" s="88" t="s">
        <v>262</v>
      </c>
      <c r="J51" s="88" t="s">
        <v>263</v>
      </c>
      <c r="L51" s="88" t="s">
        <v>592</v>
      </c>
      <c r="M51" s="88">
        <v>63.0</v>
      </c>
      <c r="N51" s="88">
        <v>554.0</v>
      </c>
      <c r="O51" s="88" t="s">
        <v>593</v>
      </c>
      <c r="P51" s="88">
        <v>159.0</v>
      </c>
      <c r="Q51" s="88">
        <v>975.0</v>
      </c>
      <c r="R51" s="88" t="s">
        <v>594</v>
      </c>
      <c r="S51" s="88">
        <v>112.0</v>
      </c>
      <c r="T51" s="88">
        <v>675.0</v>
      </c>
      <c r="V51" s="88">
        <v>0.0</v>
      </c>
      <c r="W51" s="88" t="s">
        <v>595</v>
      </c>
      <c r="X51" s="88">
        <v>56.0</v>
      </c>
      <c r="Z51" s="88">
        <v>0.0</v>
      </c>
      <c r="AA51" s="88" t="s">
        <v>287</v>
      </c>
      <c r="AB51" s="88">
        <v>16.0</v>
      </c>
      <c r="AC51" s="88" t="s">
        <v>288</v>
      </c>
      <c r="AD51" s="88">
        <v>34.0</v>
      </c>
      <c r="AE51" s="88" t="s">
        <v>270</v>
      </c>
      <c r="AH51" s="87" t="s">
        <v>591</v>
      </c>
      <c r="AN51" s="88">
        <v>190563.0</v>
      </c>
      <c r="AO51" s="88">
        <v>34629.0</v>
      </c>
      <c r="AP51" s="88">
        <v>34629.0</v>
      </c>
      <c r="AQ51" s="88">
        <v>13.266</v>
      </c>
      <c r="AS51" s="88">
        <v>2474.0</v>
      </c>
      <c r="AT51" s="88">
        <v>406.0</v>
      </c>
      <c r="AU51" s="88">
        <v>6.094</v>
      </c>
      <c r="AV51" s="88">
        <v>37.297</v>
      </c>
      <c r="AW51" s="88" t="s">
        <v>280</v>
      </c>
      <c r="AX51" s="88">
        <v>10.681</v>
      </c>
      <c r="AY51" s="88">
        <v>5.0</v>
      </c>
      <c r="AZ51" s="88">
        <v>1.0</v>
      </c>
      <c r="BB51" s="88">
        <v>4.0</v>
      </c>
      <c r="BC51" s="88">
        <v>2.0</v>
      </c>
      <c r="BD51" s="88">
        <v>0.0</v>
      </c>
      <c r="BE51" s="88">
        <v>1.1</v>
      </c>
      <c r="BF51" s="88">
        <v>126.0</v>
      </c>
      <c r="BG51" s="88">
        <v>49.0</v>
      </c>
      <c r="BH51" s="88">
        <v>0.0</v>
      </c>
      <c r="BI51" s="88">
        <v>29.0</v>
      </c>
      <c r="BJ51" s="88">
        <v>19.0</v>
      </c>
      <c r="BK51" s="88">
        <v>0.0</v>
      </c>
      <c r="BP51" s="88" t="s">
        <v>596</v>
      </c>
      <c r="BQ51" s="88">
        <v>0.131</v>
      </c>
      <c r="BV51" s="88" t="s">
        <v>273</v>
      </c>
      <c r="BW51" s="88">
        <v>1.1</v>
      </c>
      <c r="CI51" s="87" t="s">
        <v>591</v>
      </c>
      <c r="CJ51" s="89">
        <v>46037.65950231482</v>
      </c>
    </row>
    <row r="52">
      <c r="A52" s="87" t="s">
        <v>597</v>
      </c>
      <c r="B52" s="88" t="s">
        <v>336</v>
      </c>
      <c r="C52" s="88" t="s">
        <v>337</v>
      </c>
      <c r="D52" s="88">
        <v>1.0</v>
      </c>
      <c r="E52" s="88" t="s">
        <v>345</v>
      </c>
      <c r="F52" s="90" t="s">
        <v>579</v>
      </c>
      <c r="G52" s="88" t="s">
        <v>261</v>
      </c>
      <c r="H52" s="88">
        <v>200.0</v>
      </c>
      <c r="I52" s="88" t="s">
        <v>262</v>
      </c>
      <c r="J52" s="88" t="s">
        <v>263</v>
      </c>
      <c r="L52" s="88" t="s">
        <v>598</v>
      </c>
      <c r="M52" s="88">
        <v>63.0</v>
      </c>
      <c r="N52" s="88">
        <v>557.0</v>
      </c>
      <c r="O52" s="88" t="s">
        <v>599</v>
      </c>
      <c r="P52" s="88">
        <v>165.0</v>
      </c>
      <c r="Q52" s="88">
        <v>1021.0</v>
      </c>
      <c r="R52" s="88" t="s">
        <v>600</v>
      </c>
      <c r="S52" s="88">
        <v>116.0</v>
      </c>
      <c r="T52" s="88">
        <v>719.0</v>
      </c>
      <c r="V52" s="88">
        <v>0.0</v>
      </c>
      <c r="W52" s="88" t="s">
        <v>601</v>
      </c>
      <c r="X52" s="88">
        <v>59.0</v>
      </c>
      <c r="Z52" s="88">
        <v>0.0</v>
      </c>
      <c r="AA52" s="88" t="s">
        <v>287</v>
      </c>
      <c r="AB52" s="88">
        <v>16.0</v>
      </c>
      <c r="AC52" s="88" t="s">
        <v>288</v>
      </c>
      <c r="AD52" s="88">
        <v>34.0</v>
      </c>
      <c r="AE52" s="88" t="s">
        <v>270</v>
      </c>
      <c r="AH52" s="87" t="s">
        <v>597</v>
      </c>
      <c r="AN52" s="88">
        <v>191284.0</v>
      </c>
      <c r="AO52" s="88">
        <v>34777.0</v>
      </c>
      <c r="AP52" s="88">
        <v>34777.0</v>
      </c>
      <c r="AQ52" s="88">
        <v>13.322</v>
      </c>
      <c r="AS52" s="88">
        <v>2519.0</v>
      </c>
      <c r="AT52" s="88">
        <v>405.0</v>
      </c>
      <c r="AU52" s="88">
        <v>6.22</v>
      </c>
      <c r="AV52" s="88">
        <v>34.412</v>
      </c>
      <c r="AW52" s="88" t="s">
        <v>280</v>
      </c>
      <c r="AX52" s="88">
        <v>10.98</v>
      </c>
      <c r="AY52" s="88">
        <v>5.0</v>
      </c>
      <c r="AZ52" s="88">
        <v>1.0</v>
      </c>
      <c r="BB52" s="88">
        <v>4.0</v>
      </c>
      <c r="BC52" s="88">
        <v>2.0</v>
      </c>
      <c r="BD52" s="88">
        <v>0.0</v>
      </c>
      <c r="BE52" s="88">
        <v>1.1</v>
      </c>
      <c r="BF52" s="88">
        <v>132.0</v>
      </c>
      <c r="BG52" s="88">
        <v>55.0</v>
      </c>
      <c r="BH52" s="88">
        <v>0.0</v>
      </c>
      <c r="BI52" s="88">
        <v>25.0</v>
      </c>
      <c r="BJ52" s="88">
        <v>11.0</v>
      </c>
      <c r="BK52" s="88">
        <v>0.0</v>
      </c>
      <c r="BP52" s="88" t="s">
        <v>602</v>
      </c>
      <c r="BQ52" s="88">
        <v>0.088</v>
      </c>
      <c r="BV52" s="88" t="s">
        <v>273</v>
      </c>
      <c r="BW52" s="88">
        <v>1.1</v>
      </c>
      <c r="BX52" s="88">
        <v>1.0</v>
      </c>
      <c r="BY52" s="88">
        <v>0.0</v>
      </c>
      <c r="BZ52" s="88">
        <v>0.0</v>
      </c>
      <c r="CA52" s="88">
        <v>0.0</v>
      </c>
      <c r="CB52" s="88">
        <v>3.0</v>
      </c>
      <c r="CC52" s="88">
        <v>0.0</v>
      </c>
      <c r="CI52" s="87" t="s">
        <v>597</v>
      </c>
      <c r="CJ52" s="89">
        <v>46037.65950231482</v>
      </c>
    </row>
    <row r="53">
      <c r="A53" s="87" t="s">
        <v>603</v>
      </c>
      <c r="B53" s="88" t="s">
        <v>336</v>
      </c>
      <c r="C53" s="88" t="s">
        <v>337</v>
      </c>
      <c r="E53" s="88" t="s">
        <v>345</v>
      </c>
      <c r="F53" s="90" t="s">
        <v>579</v>
      </c>
      <c r="G53" s="88" t="s">
        <v>261</v>
      </c>
      <c r="H53" s="88">
        <v>200.0</v>
      </c>
      <c r="I53" s="88" t="s">
        <v>262</v>
      </c>
      <c r="J53" s="88" t="s">
        <v>263</v>
      </c>
      <c r="L53" s="88" t="s">
        <v>604</v>
      </c>
      <c r="M53" s="88">
        <v>58.0</v>
      </c>
      <c r="N53" s="88">
        <v>521.0</v>
      </c>
      <c r="O53" s="88" t="s">
        <v>605</v>
      </c>
      <c r="P53" s="88">
        <v>172.0</v>
      </c>
      <c r="Q53" s="88">
        <v>1063.0</v>
      </c>
      <c r="R53" s="88" t="s">
        <v>606</v>
      </c>
      <c r="S53" s="88">
        <v>130.0</v>
      </c>
      <c r="T53" s="88">
        <v>789.0</v>
      </c>
      <c r="V53" s="88">
        <v>0.0</v>
      </c>
      <c r="W53" s="88" t="s">
        <v>604</v>
      </c>
      <c r="X53" s="88">
        <v>58.0</v>
      </c>
      <c r="Z53" s="88">
        <v>0.0</v>
      </c>
      <c r="AA53" s="88" t="s">
        <v>287</v>
      </c>
      <c r="AB53" s="88">
        <v>16.0</v>
      </c>
      <c r="AC53" s="88" t="s">
        <v>288</v>
      </c>
      <c r="AD53" s="88">
        <v>34.0</v>
      </c>
      <c r="AE53" s="88" t="s">
        <v>270</v>
      </c>
      <c r="AH53" s="87" t="s">
        <v>603</v>
      </c>
      <c r="AN53" s="88">
        <v>192296.0</v>
      </c>
      <c r="AO53" s="88">
        <v>35004.0</v>
      </c>
      <c r="AP53" s="88">
        <v>35004.0</v>
      </c>
      <c r="AQ53" s="88">
        <v>13.409</v>
      </c>
      <c r="AS53" s="88">
        <v>2677.0</v>
      </c>
      <c r="AT53" s="88">
        <v>402.0</v>
      </c>
      <c r="AU53" s="88">
        <v>6.659</v>
      </c>
      <c r="AV53" s="88">
        <v>38.777</v>
      </c>
      <c r="AW53" s="88" t="s">
        <v>280</v>
      </c>
      <c r="AX53" s="88">
        <v>11.309</v>
      </c>
      <c r="AY53" s="88">
        <v>5.0</v>
      </c>
      <c r="AZ53" s="88">
        <v>1.0</v>
      </c>
      <c r="BB53" s="88">
        <v>4.0</v>
      </c>
      <c r="BC53" s="88">
        <v>2.0</v>
      </c>
      <c r="BD53" s="88">
        <v>0.0</v>
      </c>
      <c r="BE53" s="88">
        <v>1.1</v>
      </c>
      <c r="BF53" s="88">
        <v>132.0</v>
      </c>
      <c r="BG53" s="88">
        <v>55.0</v>
      </c>
      <c r="BH53" s="88">
        <v>0.0</v>
      </c>
      <c r="BI53" s="88">
        <v>29.0</v>
      </c>
      <c r="BJ53" s="88">
        <v>14.0</v>
      </c>
      <c r="BK53" s="88">
        <v>0.0</v>
      </c>
      <c r="BP53" s="88" t="s">
        <v>607</v>
      </c>
      <c r="BQ53" s="88">
        <v>0.073</v>
      </c>
      <c r="BV53" s="88" t="s">
        <v>273</v>
      </c>
      <c r="BW53" s="88">
        <v>1.1</v>
      </c>
      <c r="CI53" s="87" t="s">
        <v>603</v>
      </c>
      <c r="CJ53" s="89">
        <v>46037.65951388889</v>
      </c>
    </row>
    <row r="54">
      <c r="A54" s="87" t="s">
        <v>608</v>
      </c>
      <c r="D54" s="88">
        <v>4.0</v>
      </c>
      <c r="E54" s="88" t="s">
        <v>345</v>
      </c>
      <c r="F54" s="90" t="s">
        <v>579</v>
      </c>
      <c r="G54" s="88" t="s">
        <v>261</v>
      </c>
      <c r="H54" s="88">
        <v>200.0</v>
      </c>
      <c r="I54" s="88" t="s">
        <v>262</v>
      </c>
      <c r="J54" s="88" t="s">
        <v>263</v>
      </c>
      <c r="L54" s="88" t="s">
        <v>609</v>
      </c>
      <c r="M54" s="88">
        <v>56.0</v>
      </c>
      <c r="N54" s="88">
        <v>522.0</v>
      </c>
      <c r="O54" s="88" t="s">
        <v>610</v>
      </c>
      <c r="P54" s="88">
        <v>168.0</v>
      </c>
      <c r="Q54" s="88">
        <v>1046.0</v>
      </c>
      <c r="S54" s="88">
        <v>0.0</v>
      </c>
      <c r="T54" s="88">
        <v>0.0</v>
      </c>
      <c r="V54" s="88">
        <v>0.0</v>
      </c>
      <c r="W54" s="88" t="s">
        <v>609</v>
      </c>
      <c r="X54" s="88">
        <v>56.0</v>
      </c>
      <c r="Z54" s="88">
        <v>0.0</v>
      </c>
      <c r="AA54" s="88" t="s">
        <v>287</v>
      </c>
      <c r="AB54" s="88">
        <v>16.0</v>
      </c>
      <c r="AC54" s="88" t="s">
        <v>288</v>
      </c>
      <c r="AD54" s="88">
        <v>34.0</v>
      </c>
      <c r="AE54" s="88" t="s">
        <v>270</v>
      </c>
      <c r="AH54" s="87" t="s">
        <v>608</v>
      </c>
      <c r="AN54" s="88">
        <v>192347.0</v>
      </c>
      <c r="AO54" s="88">
        <v>35823.0</v>
      </c>
      <c r="AP54" s="88">
        <v>35823.0</v>
      </c>
      <c r="AQ54" s="88">
        <v>13.723</v>
      </c>
      <c r="AS54" s="88">
        <v>2901.0</v>
      </c>
      <c r="AT54" s="88">
        <v>445.0</v>
      </c>
      <c r="AU54" s="88">
        <v>6.519</v>
      </c>
      <c r="AV54" s="88">
        <v>41.137</v>
      </c>
      <c r="AW54" s="88" t="s">
        <v>280</v>
      </c>
      <c r="AX54" s="88">
        <v>12.187</v>
      </c>
      <c r="AY54" s="88">
        <v>2.0</v>
      </c>
      <c r="AZ54" s="88">
        <v>1.0</v>
      </c>
      <c r="BB54" s="88">
        <v>690.0</v>
      </c>
      <c r="BC54" s="88">
        <v>116.0</v>
      </c>
      <c r="BD54" s="88">
        <v>0.0</v>
      </c>
      <c r="BE54" s="88">
        <v>64.09</v>
      </c>
      <c r="BF54" s="88">
        <v>130.0</v>
      </c>
      <c r="BG54" s="88">
        <v>48.0</v>
      </c>
      <c r="BH54" s="88">
        <v>0.0</v>
      </c>
      <c r="BI54" s="88">
        <v>14.0</v>
      </c>
      <c r="BJ54" s="88">
        <v>9.0</v>
      </c>
      <c r="BK54" s="88">
        <v>0.0</v>
      </c>
      <c r="BP54" s="88" t="s">
        <v>611</v>
      </c>
      <c r="BQ54" s="88">
        <v>0.122</v>
      </c>
      <c r="BV54" s="88" t="s">
        <v>273</v>
      </c>
      <c r="BW54" s="88">
        <v>1.1</v>
      </c>
      <c r="BX54" s="88">
        <v>5.0</v>
      </c>
      <c r="BY54" s="88">
        <v>1.0</v>
      </c>
      <c r="BZ54" s="88">
        <v>0.25</v>
      </c>
      <c r="CA54" s="88">
        <v>0.0</v>
      </c>
      <c r="CB54" s="88">
        <v>15.0</v>
      </c>
      <c r="CC54" s="88">
        <v>0.0</v>
      </c>
      <c r="CI54" s="87" t="s">
        <v>608</v>
      </c>
      <c r="CJ54" s="89">
        <v>46037.65895833333</v>
      </c>
    </row>
    <row r="55">
      <c r="A55" s="87" t="s">
        <v>612</v>
      </c>
      <c r="B55" s="88" t="s">
        <v>336</v>
      </c>
      <c r="C55" s="88" t="s">
        <v>337</v>
      </c>
      <c r="E55" s="88" t="s">
        <v>345</v>
      </c>
      <c r="F55" s="90" t="s">
        <v>579</v>
      </c>
      <c r="G55" s="88" t="s">
        <v>261</v>
      </c>
      <c r="H55" s="88">
        <v>200.0</v>
      </c>
      <c r="I55" s="88" t="s">
        <v>262</v>
      </c>
      <c r="J55" s="88" t="s">
        <v>263</v>
      </c>
      <c r="L55" s="88" t="s">
        <v>613</v>
      </c>
      <c r="M55" s="88">
        <v>63.0</v>
      </c>
      <c r="N55" s="88">
        <v>574.0</v>
      </c>
      <c r="O55" s="88" t="s">
        <v>614</v>
      </c>
      <c r="P55" s="88">
        <v>159.0</v>
      </c>
      <c r="Q55" s="88">
        <v>993.0</v>
      </c>
      <c r="R55" s="88" t="s">
        <v>615</v>
      </c>
      <c r="S55" s="88">
        <v>99.0</v>
      </c>
      <c r="T55" s="88">
        <v>597.0</v>
      </c>
      <c r="V55" s="88">
        <v>0.0</v>
      </c>
      <c r="W55" s="88" t="s">
        <v>616</v>
      </c>
      <c r="X55" s="88">
        <v>51.0</v>
      </c>
      <c r="Z55" s="88">
        <v>0.0</v>
      </c>
      <c r="AA55" s="88" t="s">
        <v>287</v>
      </c>
      <c r="AB55" s="88">
        <v>16.0</v>
      </c>
      <c r="AC55" s="88" t="s">
        <v>288</v>
      </c>
      <c r="AD55" s="88">
        <v>34.0</v>
      </c>
      <c r="AE55" s="88" t="s">
        <v>270</v>
      </c>
      <c r="AH55" s="87" t="s">
        <v>612</v>
      </c>
      <c r="AN55" s="88">
        <v>187906.0</v>
      </c>
      <c r="AO55" s="88">
        <v>34031.0</v>
      </c>
      <c r="AP55" s="88">
        <v>34031.0</v>
      </c>
      <c r="AQ55" s="88">
        <v>13.037</v>
      </c>
      <c r="AS55" s="88">
        <v>2334.0</v>
      </c>
      <c r="AT55" s="88">
        <v>358.0</v>
      </c>
      <c r="AU55" s="88">
        <v>6.52</v>
      </c>
      <c r="AV55" s="88">
        <v>43.015</v>
      </c>
      <c r="AW55" s="88" t="s">
        <v>280</v>
      </c>
      <c r="AX55" s="88">
        <v>10.106</v>
      </c>
      <c r="AY55" s="88">
        <v>3.0</v>
      </c>
      <c r="AZ55" s="88">
        <v>1.0</v>
      </c>
      <c r="BB55" s="88">
        <v>5.0</v>
      </c>
      <c r="BC55" s="88">
        <v>3.0</v>
      </c>
      <c r="BD55" s="88">
        <v>0.0</v>
      </c>
      <c r="BE55" s="88">
        <v>1.66</v>
      </c>
      <c r="BF55" s="88">
        <v>133.0</v>
      </c>
      <c r="BG55" s="88">
        <v>56.0</v>
      </c>
      <c r="BH55" s="88">
        <v>0.0</v>
      </c>
      <c r="BI55" s="88">
        <v>20.0</v>
      </c>
      <c r="BJ55" s="88">
        <v>13.0</v>
      </c>
      <c r="BK55" s="88">
        <v>0.0</v>
      </c>
      <c r="BP55" s="88" t="s">
        <v>617</v>
      </c>
      <c r="BQ55" s="88">
        <v>0.102</v>
      </c>
      <c r="BV55" s="88" t="s">
        <v>273</v>
      </c>
      <c r="BW55" s="88">
        <v>1.1</v>
      </c>
      <c r="CI55" s="87" t="s">
        <v>612</v>
      </c>
      <c r="CJ55" s="89">
        <v>46037.6590162037</v>
      </c>
    </row>
    <row r="56">
      <c r="A56" s="87" t="s">
        <v>618</v>
      </c>
      <c r="B56" s="88" t="s">
        <v>336</v>
      </c>
      <c r="C56" s="88" t="s">
        <v>337</v>
      </c>
      <c r="E56" s="88" t="s">
        <v>345</v>
      </c>
      <c r="F56" s="90" t="s">
        <v>579</v>
      </c>
      <c r="G56" s="88" t="s">
        <v>261</v>
      </c>
      <c r="H56" s="88">
        <v>200.0</v>
      </c>
      <c r="I56" s="88" t="s">
        <v>262</v>
      </c>
      <c r="J56" s="88" t="s">
        <v>263</v>
      </c>
      <c r="L56" s="88" t="s">
        <v>619</v>
      </c>
      <c r="M56" s="88">
        <v>65.0</v>
      </c>
      <c r="N56" s="88">
        <v>595.0</v>
      </c>
      <c r="O56" s="88" t="s">
        <v>620</v>
      </c>
      <c r="P56" s="88">
        <v>149.0</v>
      </c>
      <c r="Q56" s="88">
        <v>924.0</v>
      </c>
      <c r="R56" s="88" t="s">
        <v>621</v>
      </c>
      <c r="S56" s="88">
        <v>105.0</v>
      </c>
      <c r="T56" s="88">
        <v>649.0</v>
      </c>
      <c r="V56" s="88">
        <v>0.0</v>
      </c>
      <c r="W56" s="88" t="s">
        <v>622</v>
      </c>
      <c r="X56" s="88">
        <v>56.0</v>
      </c>
      <c r="Z56" s="88">
        <v>0.0</v>
      </c>
      <c r="AA56" s="88" t="s">
        <v>287</v>
      </c>
      <c r="AB56" s="88">
        <v>16.0</v>
      </c>
      <c r="AC56" s="88" t="s">
        <v>288</v>
      </c>
      <c r="AD56" s="88">
        <v>34.0</v>
      </c>
      <c r="AE56" s="88" t="s">
        <v>270</v>
      </c>
      <c r="AH56" s="87" t="s">
        <v>618</v>
      </c>
      <c r="AN56" s="88">
        <v>189926.0</v>
      </c>
      <c r="AO56" s="88">
        <v>34234.0</v>
      </c>
      <c r="AP56" s="88">
        <v>34234.0</v>
      </c>
      <c r="AQ56" s="88">
        <v>13.114</v>
      </c>
      <c r="AS56" s="88">
        <v>2435.0</v>
      </c>
      <c r="AT56" s="88">
        <v>377.0</v>
      </c>
      <c r="AU56" s="88">
        <v>6.459</v>
      </c>
      <c r="AV56" s="88">
        <v>41.78</v>
      </c>
      <c r="AW56" s="88" t="s">
        <v>280</v>
      </c>
      <c r="AX56" s="88">
        <v>10.459</v>
      </c>
      <c r="AY56" s="88">
        <v>4.0</v>
      </c>
      <c r="AZ56" s="88">
        <v>1.0</v>
      </c>
      <c r="BB56" s="88">
        <v>4.0</v>
      </c>
      <c r="BC56" s="88">
        <v>2.0</v>
      </c>
      <c r="BD56" s="88">
        <v>0.0</v>
      </c>
      <c r="BE56" s="88">
        <v>1.1</v>
      </c>
      <c r="BF56" s="88">
        <v>129.0</v>
      </c>
      <c r="BG56" s="88">
        <v>52.0</v>
      </c>
      <c r="BH56" s="88">
        <v>0.0</v>
      </c>
      <c r="BI56" s="88">
        <v>25.0</v>
      </c>
      <c r="BJ56" s="88">
        <v>14.0</v>
      </c>
      <c r="BK56" s="88">
        <v>0.0</v>
      </c>
      <c r="BP56" s="88" t="s">
        <v>623</v>
      </c>
      <c r="BQ56" s="88">
        <v>0.085</v>
      </c>
      <c r="BV56" s="88" t="s">
        <v>273</v>
      </c>
      <c r="BW56" s="88">
        <v>1.1</v>
      </c>
      <c r="CI56" s="87" t="s">
        <v>618</v>
      </c>
      <c r="CJ56" s="89">
        <v>46037.659166666665</v>
      </c>
    </row>
    <row r="57">
      <c r="A57" s="87" t="s">
        <v>624</v>
      </c>
      <c r="B57" s="88" t="s">
        <v>336</v>
      </c>
      <c r="C57" s="88" t="s">
        <v>337</v>
      </c>
      <c r="D57" s="88">
        <v>1.0</v>
      </c>
      <c r="E57" s="88" t="s">
        <v>345</v>
      </c>
      <c r="F57" s="90" t="s">
        <v>579</v>
      </c>
      <c r="G57" s="88" t="s">
        <v>261</v>
      </c>
      <c r="H57" s="88">
        <v>200.0</v>
      </c>
      <c r="I57" s="88" t="s">
        <v>262</v>
      </c>
      <c r="J57" s="88" t="s">
        <v>263</v>
      </c>
      <c r="L57" s="88" t="s">
        <v>625</v>
      </c>
      <c r="M57" s="88">
        <v>54.0</v>
      </c>
      <c r="N57" s="88">
        <v>506.0</v>
      </c>
      <c r="O57" s="88" t="s">
        <v>626</v>
      </c>
      <c r="P57" s="88">
        <v>150.0</v>
      </c>
      <c r="Q57" s="88">
        <v>921.0</v>
      </c>
      <c r="R57" s="88" t="s">
        <v>627</v>
      </c>
      <c r="S57" s="88">
        <v>115.0</v>
      </c>
      <c r="T57" s="88">
        <v>714.0</v>
      </c>
      <c r="V57" s="88">
        <v>0.0</v>
      </c>
      <c r="W57" s="88" t="s">
        <v>628</v>
      </c>
      <c r="X57" s="88">
        <v>58.0</v>
      </c>
      <c r="Z57" s="88">
        <v>0.0</v>
      </c>
      <c r="AA57" s="88" t="s">
        <v>287</v>
      </c>
      <c r="AB57" s="88">
        <v>16.0</v>
      </c>
      <c r="AC57" s="88" t="s">
        <v>288</v>
      </c>
      <c r="AD57" s="88">
        <v>34.0</v>
      </c>
      <c r="AE57" s="88" t="s">
        <v>270</v>
      </c>
      <c r="AH57" s="87" t="s">
        <v>624</v>
      </c>
      <c r="AN57" s="88">
        <v>189593.0</v>
      </c>
      <c r="AO57" s="88">
        <v>34259.0</v>
      </c>
      <c r="AP57" s="88">
        <v>34259.0</v>
      </c>
      <c r="AQ57" s="88">
        <v>13.124</v>
      </c>
      <c r="AS57" s="88">
        <v>2540.0</v>
      </c>
      <c r="AT57" s="88">
        <v>391.0</v>
      </c>
      <c r="AU57" s="88">
        <v>6.496</v>
      </c>
      <c r="AV57" s="88">
        <v>39.401</v>
      </c>
      <c r="AW57" s="88" t="s">
        <v>280</v>
      </c>
      <c r="AX57" s="88">
        <v>10.862</v>
      </c>
      <c r="AY57" s="88">
        <v>4.0</v>
      </c>
      <c r="AZ57" s="88">
        <v>1.0</v>
      </c>
      <c r="BB57" s="88">
        <v>4.0</v>
      </c>
      <c r="BC57" s="88">
        <v>2.0</v>
      </c>
      <c r="BD57" s="88">
        <v>0.0</v>
      </c>
      <c r="BE57" s="88">
        <v>1.1</v>
      </c>
      <c r="BF57" s="88">
        <v>132.0</v>
      </c>
      <c r="BG57" s="88">
        <v>55.0</v>
      </c>
      <c r="BH57" s="88">
        <v>0.0</v>
      </c>
      <c r="BI57" s="88">
        <v>19.0</v>
      </c>
      <c r="BJ57" s="88">
        <v>11.0</v>
      </c>
      <c r="BK57" s="88">
        <v>0.0</v>
      </c>
      <c r="BP57" s="88" t="s">
        <v>629</v>
      </c>
      <c r="BQ57" s="88">
        <v>0.133</v>
      </c>
      <c r="BV57" s="88" t="s">
        <v>273</v>
      </c>
      <c r="BW57" s="88">
        <v>1.1</v>
      </c>
      <c r="BX57" s="88">
        <v>1.0</v>
      </c>
      <c r="BY57" s="88">
        <v>0.0</v>
      </c>
      <c r="BZ57" s="88">
        <v>0.0</v>
      </c>
      <c r="CA57" s="88">
        <v>0.0</v>
      </c>
      <c r="CB57" s="88">
        <v>4.0</v>
      </c>
      <c r="CC57" s="88">
        <v>0.0</v>
      </c>
      <c r="CI57" s="87" t="s">
        <v>624</v>
      </c>
      <c r="CJ57" s="89">
        <v>46037.659155092595</v>
      </c>
    </row>
    <row r="58">
      <c r="A58" s="87" t="s">
        <v>630</v>
      </c>
      <c r="D58" s="88">
        <v>12.0</v>
      </c>
      <c r="E58" s="88" t="s">
        <v>631</v>
      </c>
      <c r="F58" s="88"/>
      <c r="G58" s="88" t="s">
        <v>261</v>
      </c>
      <c r="H58" s="88">
        <v>200.0</v>
      </c>
      <c r="I58" s="88" t="s">
        <v>262</v>
      </c>
      <c r="J58" s="88" t="s">
        <v>263</v>
      </c>
      <c r="L58" s="88" t="s">
        <v>632</v>
      </c>
      <c r="M58" s="88">
        <v>50.0</v>
      </c>
      <c r="N58" s="88">
        <v>447.0</v>
      </c>
      <c r="O58" s="88" t="s">
        <v>633</v>
      </c>
      <c r="P58" s="88">
        <v>140.0</v>
      </c>
      <c r="Q58" s="88">
        <v>877.0</v>
      </c>
      <c r="R58" s="88" t="s">
        <v>633</v>
      </c>
      <c r="S58" s="88">
        <v>140.0</v>
      </c>
      <c r="T58" s="88">
        <v>877.0</v>
      </c>
      <c r="V58" s="88">
        <v>0.0</v>
      </c>
      <c r="W58" s="88" t="s">
        <v>634</v>
      </c>
      <c r="X58" s="88">
        <v>34.0</v>
      </c>
      <c r="Z58" s="88">
        <v>0.0</v>
      </c>
      <c r="AA58" s="88" t="s">
        <v>288</v>
      </c>
      <c r="AB58" s="88">
        <v>34.0</v>
      </c>
      <c r="AC58" s="88" t="s">
        <v>635</v>
      </c>
      <c r="AD58" s="88">
        <v>38.0</v>
      </c>
      <c r="AE58" s="88" t="s">
        <v>270</v>
      </c>
      <c r="AH58" s="87" t="s">
        <v>630</v>
      </c>
      <c r="AN58" s="88">
        <v>240115.0</v>
      </c>
      <c r="AO58" s="88">
        <v>33343.0</v>
      </c>
      <c r="AP58" s="88">
        <v>33343.0</v>
      </c>
      <c r="AQ58" s="88">
        <v>12.773</v>
      </c>
      <c r="AS58" s="88">
        <v>1497.0</v>
      </c>
      <c r="AT58" s="88">
        <v>233.0</v>
      </c>
      <c r="AU58" s="88">
        <v>6.425</v>
      </c>
      <c r="AV58" s="88">
        <v>50.046</v>
      </c>
      <c r="AW58" s="88" t="s">
        <v>304</v>
      </c>
      <c r="AX58" s="88">
        <v>5.441</v>
      </c>
      <c r="AY58" s="88">
        <v>1.0</v>
      </c>
      <c r="AZ58" s="88">
        <v>1.0</v>
      </c>
      <c r="BB58" s="88">
        <v>364.0</v>
      </c>
      <c r="BC58" s="88">
        <v>180.0</v>
      </c>
      <c r="BD58" s="88">
        <v>0.0</v>
      </c>
      <c r="BE58" s="88">
        <v>99.45</v>
      </c>
      <c r="BF58" s="88">
        <v>108.0</v>
      </c>
      <c r="BG58" s="88">
        <v>41.0</v>
      </c>
      <c r="BH58" s="88">
        <v>0.0</v>
      </c>
      <c r="BI58" s="88">
        <v>12.0</v>
      </c>
      <c r="BJ58" s="88">
        <v>7.0</v>
      </c>
      <c r="BK58" s="88">
        <v>0.0</v>
      </c>
      <c r="BP58" s="88" t="s">
        <v>636</v>
      </c>
      <c r="BQ58" s="88">
        <v>0.135</v>
      </c>
      <c r="BV58" s="88" t="s">
        <v>273</v>
      </c>
      <c r="BW58" s="88">
        <v>1.1</v>
      </c>
      <c r="BX58" s="88">
        <v>20.0</v>
      </c>
      <c r="BY58" s="88">
        <v>5.0</v>
      </c>
      <c r="BZ58" s="88">
        <v>0.42</v>
      </c>
      <c r="CA58" s="88">
        <v>0.0</v>
      </c>
      <c r="CB58" s="88">
        <v>47.0</v>
      </c>
      <c r="CC58" s="88">
        <v>0.0</v>
      </c>
      <c r="CI58" s="87" t="s">
        <v>630</v>
      </c>
      <c r="CJ58" s="89">
        <v>46037.65887731482</v>
      </c>
    </row>
    <row r="59">
      <c r="A59" s="87" t="s">
        <v>637</v>
      </c>
      <c r="F59" s="88"/>
      <c r="G59" s="88" t="s">
        <v>261</v>
      </c>
      <c r="H59" s="88">
        <v>200.0</v>
      </c>
      <c r="I59" s="88" t="s">
        <v>262</v>
      </c>
      <c r="J59" s="88" t="s">
        <v>263</v>
      </c>
      <c r="L59" s="88" t="s">
        <v>638</v>
      </c>
      <c r="M59" s="88">
        <v>74.0</v>
      </c>
      <c r="N59" s="88">
        <v>655.0</v>
      </c>
      <c r="O59" s="88" t="s">
        <v>639</v>
      </c>
      <c r="P59" s="88">
        <v>177.0</v>
      </c>
      <c r="Q59" s="88">
        <v>1102.0</v>
      </c>
      <c r="R59" s="88" t="s">
        <v>640</v>
      </c>
      <c r="S59" s="88">
        <v>121.0</v>
      </c>
      <c r="T59" s="88">
        <v>741.0</v>
      </c>
      <c r="V59" s="88">
        <v>0.0</v>
      </c>
      <c r="W59" s="88" t="s">
        <v>641</v>
      </c>
      <c r="X59" s="88">
        <v>59.0</v>
      </c>
      <c r="Z59" s="88">
        <v>0.0</v>
      </c>
      <c r="AA59" s="88" t="s">
        <v>287</v>
      </c>
      <c r="AB59" s="88">
        <v>16.0</v>
      </c>
      <c r="AC59" s="88" t="s">
        <v>288</v>
      </c>
      <c r="AD59" s="88">
        <v>34.0</v>
      </c>
      <c r="AE59" s="88" t="s">
        <v>270</v>
      </c>
      <c r="AH59" s="87" t="s">
        <v>637</v>
      </c>
      <c r="AN59" s="88">
        <v>186127.0</v>
      </c>
      <c r="AO59" s="88">
        <v>33822.0</v>
      </c>
      <c r="AP59" s="88">
        <v>33822.0</v>
      </c>
      <c r="AQ59" s="88">
        <v>12.957</v>
      </c>
      <c r="AS59" s="88">
        <v>2212.0</v>
      </c>
      <c r="AT59" s="88">
        <v>344.0</v>
      </c>
      <c r="AU59" s="88">
        <v>6.43</v>
      </c>
      <c r="AV59" s="88">
        <v>43.959</v>
      </c>
      <c r="AW59" s="88" t="s">
        <v>280</v>
      </c>
      <c r="AX59" s="88">
        <v>9.64</v>
      </c>
      <c r="AY59" s="88">
        <v>4.0</v>
      </c>
      <c r="AZ59" s="88">
        <v>1.0</v>
      </c>
      <c r="BB59" s="88">
        <v>4.0</v>
      </c>
      <c r="BC59" s="88">
        <v>2.0</v>
      </c>
      <c r="BD59" s="88">
        <v>0.0</v>
      </c>
      <c r="BE59" s="88">
        <v>1.1</v>
      </c>
      <c r="BF59" s="88">
        <v>130.0</v>
      </c>
      <c r="BG59" s="88">
        <v>53.0</v>
      </c>
      <c r="BH59" s="88">
        <v>0.0</v>
      </c>
      <c r="BI59" s="88">
        <v>17.0</v>
      </c>
      <c r="BJ59" s="88">
        <v>10.0</v>
      </c>
      <c r="BK59" s="88">
        <v>0.0</v>
      </c>
      <c r="BP59" s="88" t="s">
        <v>642</v>
      </c>
      <c r="BQ59" s="88">
        <v>0.163</v>
      </c>
      <c r="BV59" s="88" t="s">
        <v>273</v>
      </c>
      <c r="BW59" s="88">
        <v>1.1</v>
      </c>
      <c r="CI59" s="87" t="s">
        <v>637</v>
      </c>
      <c r="CJ59" s="89">
        <v>46037.659224537034</v>
      </c>
    </row>
    <row r="60">
      <c r="A60" s="87" t="s">
        <v>643</v>
      </c>
      <c r="F60" s="88"/>
      <c r="G60" s="88" t="s">
        <v>261</v>
      </c>
      <c r="H60" s="88">
        <v>200.0</v>
      </c>
      <c r="I60" s="88" t="s">
        <v>262</v>
      </c>
      <c r="J60" s="88" t="s">
        <v>263</v>
      </c>
      <c r="L60" s="88" t="s">
        <v>644</v>
      </c>
      <c r="M60" s="88">
        <v>68.0</v>
      </c>
      <c r="N60" s="88">
        <v>629.0</v>
      </c>
      <c r="O60" s="88" t="s">
        <v>645</v>
      </c>
      <c r="P60" s="88">
        <v>201.0</v>
      </c>
      <c r="Q60" s="88">
        <v>1227.0</v>
      </c>
      <c r="R60" s="88" t="s">
        <v>646</v>
      </c>
      <c r="S60" s="88">
        <v>97.0</v>
      </c>
      <c r="T60" s="88">
        <v>605.0</v>
      </c>
      <c r="V60" s="88">
        <v>0.0</v>
      </c>
      <c r="W60" s="88" t="s">
        <v>647</v>
      </c>
      <c r="X60" s="88">
        <v>59.0</v>
      </c>
      <c r="Z60" s="88">
        <v>0.0</v>
      </c>
      <c r="AA60" s="88" t="s">
        <v>287</v>
      </c>
      <c r="AB60" s="88">
        <v>16.0</v>
      </c>
      <c r="AC60" s="88" t="s">
        <v>288</v>
      </c>
      <c r="AD60" s="88">
        <v>34.0</v>
      </c>
      <c r="AE60" s="88" t="s">
        <v>270</v>
      </c>
      <c r="AH60" s="87" t="s">
        <v>643</v>
      </c>
      <c r="AN60" s="88">
        <v>187147.0</v>
      </c>
      <c r="AO60" s="88">
        <v>34083.0</v>
      </c>
      <c r="AP60" s="88">
        <v>34083.0</v>
      </c>
      <c r="AQ60" s="88">
        <v>13.057</v>
      </c>
      <c r="AS60" s="88">
        <v>2363.0</v>
      </c>
      <c r="AT60" s="88">
        <v>389.0</v>
      </c>
      <c r="AU60" s="88">
        <v>6.075</v>
      </c>
      <c r="AV60" s="88">
        <v>47.544</v>
      </c>
      <c r="AW60" s="88" t="s">
        <v>280</v>
      </c>
      <c r="AX60" s="88">
        <v>10.063</v>
      </c>
      <c r="AY60" s="88">
        <v>4.0</v>
      </c>
      <c r="AZ60" s="88">
        <v>1.0</v>
      </c>
      <c r="BB60" s="88">
        <v>4.0</v>
      </c>
      <c r="BC60" s="88">
        <v>2.0</v>
      </c>
      <c r="BD60" s="88">
        <v>0.0</v>
      </c>
      <c r="BE60" s="88">
        <v>1.1</v>
      </c>
      <c r="BF60" s="88">
        <v>131.0</v>
      </c>
      <c r="BG60" s="88">
        <v>54.0</v>
      </c>
      <c r="BH60" s="88">
        <v>0.0</v>
      </c>
      <c r="BI60" s="88">
        <v>15.0</v>
      </c>
      <c r="BJ60" s="88">
        <v>10.0</v>
      </c>
      <c r="BK60" s="88">
        <v>0.0</v>
      </c>
      <c r="BP60" s="88" t="s">
        <v>648</v>
      </c>
      <c r="BQ60" s="88">
        <v>0.08</v>
      </c>
      <c r="BV60" s="88" t="s">
        <v>273</v>
      </c>
      <c r="BW60" s="88">
        <v>1.1</v>
      </c>
      <c r="CI60" s="87" t="s">
        <v>643</v>
      </c>
      <c r="CJ60" s="89">
        <v>46037.659212962964</v>
      </c>
    </row>
    <row r="61">
      <c r="A61" s="87" t="s">
        <v>649</v>
      </c>
      <c r="F61" s="88"/>
      <c r="G61" s="88" t="s">
        <v>261</v>
      </c>
      <c r="H61" s="88">
        <v>200.0</v>
      </c>
      <c r="I61" s="88" t="s">
        <v>262</v>
      </c>
      <c r="J61" s="88" t="s">
        <v>263</v>
      </c>
      <c r="L61" s="88" t="s">
        <v>650</v>
      </c>
      <c r="M61" s="88">
        <v>72.0</v>
      </c>
      <c r="N61" s="88">
        <v>641.0</v>
      </c>
      <c r="O61" s="88" t="s">
        <v>651</v>
      </c>
      <c r="P61" s="88">
        <v>155.0</v>
      </c>
      <c r="Q61" s="88">
        <v>942.0</v>
      </c>
      <c r="R61" s="88" t="s">
        <v>652</v>
      </c>
      <c r="S61" s="88">
        <v>142.0</v>
      </c>
      <c r="T61" s="88">
        <v>867.0</v>
      </c>
      <c r="V61" s="88">
        <v>0.0</v>
      </c>
      <c r="W61" s="88" t="s">
        <v>653</v>
      </c>
      <c r="X61" s="88">
        <v>58.0</v>
      </c>
      <c r="Z61" s="88">
        <v>0.0</v>
      </c>
      <c r="AA61" s="88" t="s">
        <v>287</v>
      </c>
      <c r="AB61" s="88">
        <v>16.0</v>
      </c>
      <c r="AC61" s="88" t="s">
        <v>288</v>
      </c>
      <c r="AD61" s="88">
        <v>34.0</v>
      </c>
      <c r="AE61" s="88" t="s">
        <v>270</v>
      </c>
      <c r="AH61" s="87" t="s">
        <v>649</v>
      </c>
      <c r="AN61" s="88">
        <v>189419.0</v>
      </c>
      <c r="AO61" s="88">
        <v>35180.0</v>
      </c>
      <c r="AP61" s="88">
        <v>35180.0</v>
      </c>
      <c r="AQ61" s="88">
        <v>13.477</v>
      </c>
      <c r="AS61" s="88">
        <v>2649.0</v>
      </c>
      <c r="AT61" s="88">
        <v>414.0</v>
      </c>
      <c r="AU61" s="88">
        <v>6.399</v>
      </c>
      <c r="AV61" s="88">
        <v>49.632</v>
      </c>
      <c r="AW61" s="88" t="s">
        <v>280</v>
      </c>
      <c r="AX61" s="88">
        <v>10.822</v>
      </c>
      <c r="AY61" s="88">
        <v>4.0</v>
      </c>
      <c r="AZ61" s="88">
        <v>1.0</v>
      </c>
      <c r="BB61" s="88">
        <v>4.0</v>
      </c>
      <c r="BC61" s="88">
        <v>2.0</v>
      </c>
      <c r="BD61" s="88">
        <v>0.0</v>
      </c>
      <c r="BE61" s="88">
        <v>1.1</v>
      </c>
      <c r="BF61" s="88">
        <v>131.0</v>
      </c>
      <c r="BG61" s="88">
        <v>54.0</v>
      </c>
      <c r="BH61" s="88">
        <v>0.0</v>
      </c>
      <c r="BI61" s="88">
        <v>20.0</v>
      </c>
      <c r="BJ61" s="88">
        <v>13.0</v>
      </c>
      <c r="BK61" s="88">
        <v>0.0</v>
      </c>
      <c r="BP61" s="88" t="s">
        <v>654</v>
      </c>
      <c r="BQ61" s="88">
        <v>0.136</v>
      </c>
      <c r="BV61" s="88" t="s">
        <v>273</v>
      </c>
      <c r="BW61" s="88">
        <v>1.1</v>
      </c>
      <c r="CI61" s="87" t="s">
        <v>649</v>
      </c>
      <c r="CJ61" s="89">
        <v>46037.659212962964</v>
      </c>
    </row>
    <row r="62">
      <c r="A62" s="87" t="s">
        <v>655</v>
      </c>
      <c r="D62" s="88">
        <v>1.0</v>
      </c>
      <c r="E62" s="88" t="s">
        <v>449</v>
      </c>
      <c r="F62" s="88"/>
      <c r="G62" s="88" t="s">
        <v>261</v>
      </c>
      <c r="H62" s="88">
        <v>200.0</v>
      </c>
      <c r="I62" s="88" t="s">
        <v>262</v>
      </c>
      <c r="J62" s="88" t="s">
        <v>263</v>
      </c>
      <c r="L62" s="88" t="s">
        <v>656</v>
      </c>
      <c r="M62" s="88">
        <v>29.0</v>
      </c>
      <c r="N62" s="88">
        <v>268.0</v>
      </c>
      <c r="O62" s="88" t="s">
        <v>657</v>
      </c>
      <c r="P62" s="88">
        <v>166.0</v>
      </c>
      <c r="Q62" s="88">
        <v>1020.0</v>
      </c>
      <c r="R62" s="88" t="s">
        <v>657</v>
      </c>
      <c r="S62" s="88">
        <v>166.0</v>
      </c>
      <c r="T62" s="88">
        <v>1020.0</v>
      </c>
      <c r="V62" s="88">
        <v>0.0</v>
      </c>
      <c r="W62" s="88" t="s">
        <v>658</v>
      </c>
      <c r="X62" s="88">
        <v>13.0</v>
      </c>
      <c r="Z62" s="88">
        <v>0.0</v>
      </c>
      <c r="AA62" s="88" t="s">
        <v>288</v>
      </c>
      <c r="AB62" s="88">
        <v>34.0</v>
      </c>
      <c r="AC62" s="88" t="s">
        <v>659</v>
      </c>
      <c r="AD62" s="88">
        <v>23.0</v>
      </c>
      <c r="AE62" s="88" t="s">
        <v>270</v>
      </c>
      <c r="AH62" s="87" t="s">
        <v>655</v>
      </c>
      <c r="AN62" s="88">
        <v>239311.0</v>
      </c>
      <c r="AO62" s="88">
        <v>33471.0</v>
      </c>
      <c r="AP62" s="88">
        <v>33471.0</v>
      </c>
      <c r="AQ62" s="88">
        <v>12.822</v>
      </c>
      <c r="AS62" s="88">
        <v>1546.0</v>
      </c>
      <c r="AT62" s="88">
        <v>250.0</v>
      </c>
      <c r="AU62" s="88">
        <v>6.184</v>
      </c>
      <c r="AV62" s="88">
        <v>51.66</v>
      </c>
      <c r="AW62" s="88" t="s">
        <v>304</v>
      </c>
      <c r="AX62" s="88">
        <v>5.616</v>
      </c>
      <c r="AY62" s="88">
        <v>1.0</v>
      </c>
      <c r="AZ62" s="88">
        <v>1.0</v>
      </c>
      <c r="BB62" s="88">
        <v>365.0</v>
      </c>
      <c r="BC62" s="88">
        <v>180.0</v>
      </c>
      <c r="BD62" s="88">
        <v>0.0</v>
      </c>
      <c r="BE62" s="88">
        <v>99.45</v>
      </c>
      <c r="BF62" s="88">
        <v>108.0</v>
      </c>
      <c r="BG62" s="88">
        <v>41.0</v>
      </c>
      <c r="BH62" s="88">
        <v>0.0</v>
      </c>
      <c r="BI62" s="88">
        <v>12.0</v>
      </c>
      <c r="BJ62" s="88">
        <v>7.0</v>
      </c>
      <c r="BK62" s="88">
        <v>0.0</v>
      </c>
      <c r="BP62" s="88" t="s">
        <v>660</v>
      </c>
      <c r="BQ62" s="88">
        <v>0.187</v>
      </c>
      <c r="BV62" s="88" t="s">
        <v>273</v>
      </c>
      <c r="BW62" s="88">
        <v>1.1</v>
      </c>
      <c r="BX62" s="88">
        <v>1.0</v>
      </c>
      <c r="BY62" s="88">
        <v>0.0</v>
      </c>
      <c r="BZ62" s="88">
        <v>0.0</v>
      </c>
      <c r="CA62" s="88">
        <v>0.0</v>
      </c>
      <c r="CB62" s="88">
        <v>3.0</v>
      </c>
      <c r="CC62" s="88">
        <v>0.0</v>
      </c>
      <c r="CI62" s="87" t="s">
        <v>655</v>
      </c>
      <c r="CJ62" s="89">
        <v>46037.65888888889</v>
      </c>
    </row>
    <row r="63">
      <c r="A63" s="87" t="s">
        <v>661</v>
      </c>
      <c r="F63" s="88"/>
      <c r="G63" s="88" t="s">
        <v>261</v>
      </c>
      <c r="H63" s="88">
        <v>200.0</v>
      </c>
      <c r="I63" s="88" t="s">
        <v>262</v>
      </c>
      <c r="J63" s="88" t="s">
        <v>263</v>
      </c>
      <c r="L63" s="88" t="s">
        <v>662</v>
      </c>
      <c r="M63" s="88">
        <v>87.0</v>
      </c>
      <c r="N63" s="88">
        <v>819.0</v>
      </c>
      <c r="O63" s="88" t="s">
        <v>663</v>
      </c>
      <c r="P63" s="88">
        <v>237.0</v>
      </c>
      <c r="Q63" s="88">
        <v>1475.0</v>
      </c>
      <c r="R63" s="88" t="s">
        <v>664</v>
      </c>
      <c r="S63" s="88">
        <v>109.0</v>
      </c>
      <c r="T63" s="88">
        <v>687.0</v>
      </c>
      <c r="V63" s="88">
        <v>0.0</v>
      </c>
      <c r="W63" s="88" t="s">
        <v>665</v>
      </c>
      <c r="X63" s="88">
        <v>67.0</v>
      </c>
      <c r="Z63" s="88">
        <v>0.0</v>
      </c>
      <c r="AA63" s="88" t="s">
        <v>287</v>
      </c>
      <c r="AB63" s="88">
        <v>16.0</v>
      </c>
      <c r="AC63" s="88" t="s">
        <v>288</v>
      </c>
      <c r="AD63" s="88">
        <v>34.0</v>
      </c>
      <c r="AE63" s="88" t="s">
        <v>270</v>
      </c>
      <c r="AH63" s="87" t="s">
        <v>661</v>
      </c>
      <c r="AN63" s="88">
        <v>198620.0</v>
      </c>
      <c r="AO63" s="88">
        <v>37717.0</v>
      </c>
      <c r="AP63" s="88">
        <v>37717.0</v>
      </c>
      <c r="AQ63" s="88">
        <v>14.449</v>
      </c>
      <c r="AS63" s="88">
        <v>3560.0</v>
      </c>
      <c r="AT63" s="88">
        <v>572.0</v>
      </c>
      <c r="AU63" s="88">
        <v>6.224</v>
      </c>
      <c r="AV63" s="88">
        <v>42.867</v>
      </c>
      <c r="AW63" s="88" t="s">
        <v>280</v>
      </c>
      <c r="AX63" s="88">
        <v>13.816</v>
      </c>
      <c r="AY63" s="88">
        <v>5.0</v>
      </c>
      <c r="AZ63" s="88">
        <v>1.0</v>
      </c>
      <c r="BB63" s="88">
        <v>4.0</v>
      </c>
      <c r="BC63" s="88">
        <v>2.0</v>
      </c>
      <c r="BD63" s="88">
        <v>0.0</v>
      </c>
      <c r="BE63" s="88">
        <v>1.1</v>
      </c>
      <c r="BF63" s="88">
        <v>132.0</v>
      </c>
      <c r="BG63" s="88">
        <v>55.0</v>
      </c>
      <c r="BH63" s="88">
        <v>0.0</v>
      </c>
      <c r="BI63" s="88">
        <v>19.0</v>
      </c>
      <c r="BJ63" s="88">
        <v>12.0</v>
      </c>
      <c r="BK63" s="88">
        <v>0.0</v>
      </c>
      <c r="BP63" s="88" t="s">
        <v>666</v>
      </c>
      <c r="BQ63" s="88">
        <v>0.186</v>
      </c>
      <c r="BV63" s="88" t="s">
        <v>273</v>
      </c>
      <c r="BW63" s="88">
        <v>1.1</v>
      </c>
      <c r="CI63" s="87" t="s">
        <v>661</v>
      </c>
      <c r="CJ63" s="89">
        <v>46037.65939814815</v>
      </c>
    </row>
    <row r="64">
      <c r="A64" s="87" t="s">
        <v>667</v>
      </c>
      <c r="F64" s="88"/>
      <c r="G64" s="88" t="s">
        <v>261</v>
      </c>
      <c r="H64" s="88">
        <v>200.0</v>
      </c>
      <c r="I64" s="88" t="s">
        <v>262</v>
      </c>
      <c r="J64" s="88" t="s">
        <v>263</v>
      </c>
      <c r="L64" s="88" t="s">
        <v>668</v>
      </c>
      <c r="M64" s="88">
        <v>80.0</v>
      </c>
      <c r="N64" s="88">
        <v>739.0</v>
      </c>
      <c r="O64" s="88" t="s">
        <v>669</v>
      </c>
      <c r="P64" s="88">
        <v>171.0</v>
      </c>
      <c r="Q64" s="88">
        <v>1068.0</v>
      </c>
      <c r="R64" s="88" t="s">
        <v>670</v>
      </c>
      <c r="S64" s="88">
        <v>115.0</v>
      </c>
      <c r="T64" s="88">
        <v>724.0</v>
      </c>
      <c r="V64" s="88">
        <v>0.0</v>
      </c>
      <c r="W64" s="88" t="s">
        <v>671</v>
      </c>
      <c r="X64" s="88">
        <v>59.0</v>
      </c>
      <c r="Z64" s="88">
        <v>0.0</v>
      </c>
      <c r="AA64" s="88" t="s">
        <v>287</v>
      </c>
      <c r="AB64" s="88">
        <v>16.0</v>
      </c>
      <c r="AC64" s="88" t="s">
        <v>288</v>
      </c>
      <c r="AD64" s="88">
        <v>34.0</v>
      </c>
      <c r="AE64" s="88" t="s">
        <v>270</v>
      </c>
      <c r="AH64" s="87" t="s">
        <v>667</v>
      </c>
      <c r="AN64" s="88">
        <v>186849.0</v>
      </c>
      <c r="AO64" s="88">
        <v>33965.0</v>
      </c>
      <c r="AP64" s="88">
        <v>33965.0</v>
      </c>
      <c r="AQ64" s="88">
        <v>13.011</v>
      </c>
      <c r="AS64" s="88">
        <v>2394.0</v>
      </c>
      <c r="AT64" s="88">
        <v>389.0</v>
      </c>
      <c r="AU64" s="88">
        <v>6.154</v>
      </c>
      <c r="AV64" s="88">
        <v>47.185</v>
      </c>
      <c r="AW64" s="88" t="s">
        <v>280</v>
      </c>
      <c r="AX64" s="88">
        <v>10.318</v>
      </c>
      <c r="AY64" s="88">
        <v>4.0</v>
      </c>
      <c r="AZ64" s="88">
        <v>1.0</v>
      </c>
      <c r="BB64" s="88">
        <v>4.0</v>
      </c>
      <c r="BC64" s="88">
        <v>2.0</v>
      </c>
      <c r="BD64" s="88">
        <v>0.0</v>
      </c>
      <c r="BE64" s="88">
        <v>1.1</v>
      </c>
      <c r="BF64" s="88">
        <v>128.0</v>
      </c>
      <c r="BG64" s="88">
        <v>51.0</v>
      </c>
      <c r="BH64" s="88">
        <v>0.0</v>
      </c>
      <c r="BI64" s="88">
        <v>12.0</v>
      </c>
      <c r="BJ64" s="88">
        <v>7.0</v>
      </c>
      <c r="BK64" s="88">
        <v>0.0</v>
      </c>
      <c r="BP64" s="88" t="s">
        <v>672</v>
      </c>
      <c r="BQ64" s="88">
        <v>0.139</v>
      </c>
      <c r="BV64" s="88" t="s">
        <v>273</v>
      </c>
      <c r="BW64" s="88">
        <v>1.1</v>
      </c>
      <c r="CI64" s="87" t="s">
        <v>667</v>
      </c>
      <c r="CJ64" s="89">
        <v>46037.659212962964</v>
      </c>
    </row>
    <row r="65">
      <c r="A65" s="87" t="s">
        <v>673</v>
      </c>
      <c r="F65" s="88"/>
      <c r="G65" s="88" t="s">
        <v>261</v>
      </c>
      <c r="H65" s="88">
        <v>200.0</v>
      </c>
      <c r="I65" s="88" t="s">
        <v>262</v>
      </c>
      <c r="J65" s="88" t="s">
        <v>263</v>
      </c>
      <c r="L65" s="88" t="s">
        <v>674</v>
      </c>
      <c r="M65" s="88">
        <v>67.0</v>
      </c>
      <c r="N65" s="88">
        <v>633.0</v>
      </c>
      <c r="O65" s="88" t="s">
        <v>675</v>
      </c>
      <c r="P65" s="88">
        <v>171.0</v>
      </c>
      <c r="Q65" s="88">
        <v>1065.0</v>
      </c>
      <c r="R65" s="88" t="s">
        <v>676</v>
      </c>
      <c r="S65" s="88">
        <v>141.0</v>
      </c>
      <c r="T65" s="88">
        <v>873.0</v>
      </c>
      <c r="V65" s="88">
        <v>0.0</v>
      </c>
      <c r="W65" s="88" t="s">
        <v>677</v>
      </c>
      <c r="X65" s="88">
        <v>52.0</v>
      </c>
      <c r="Z65" s="88">
        <v>0.0</v>
      </c>
      <c r="AA65" s="88" t="s">
        <v>287</v>
      </c>
      <c r="AB65" s="88">
        <v>16.0</v>
      </c>
      <c r="AC65" s="88" t="s">
        <v>288</v>
      </c>
      <c r="AD65" s="88">
        <v>34.0</v>
      </c>
      <c r="AE65" s="88" t="s">
        <v>270</v>
      </c>
      <c r="AH65" s="87" t="s">
        <v>673</v>
      </c>
      <c r="AN65" s="88">
        <v>192885.0</v>
      </c>
      <c r="AO65" s="88">
        <v>36140.0</v>
      </c>
      <c r="AP65" s="88">
        <v>36140.0</v>
      </c>
      <c r="AQ65" s="88">
        <v>13.845</v>
      </c>
      <c r="AS65" s="88">
        <v>2952.0</v>
      </c>
      <c r="AT65" s="88">
        <v>459.0</v>
      </c>
      <c r="AU65" s="88">
        <v>6.431</v>
      </c>
      <c r="AV65" s="88">
        <v>43.86</v>
      </c>
      <c r="AW65" s="88" t="s">
        <v>280</v>
      </c>
      <c r="AX65" s="88">
        <v>11.929</v>
      </c>
      <c r="AY65" s="88">
        <v>3.0</v>
      </c>
      <c r="AZ65" s="88">
        <v>1.0</v>
      </c>
      <c r="BB65" s="88">
        <v>4.0</v>
      </c>
      <c r="BC65" s="88">
        <v>2.0</v>
      </c>
      <c r="BD65" s="88">
        <v>0.0</v>
      </c>
      <c r="BE65" s="88">
        <v>1.1</v>
      </c>
      <c r="BF65" s="88">
        <v>134.0</v>
      </c>
      <c r="BG65" s="88">
        <v>57.0</v>
      </c>
      <c r="BH65" s="88">
        <v>0.0</v>
      </c>
      <c r="BI65" s="88">
        <v>20.0</v>
      </c>
      <c r="BJ65" s="88">
        <v>13.0</v>
      </c>
      <c r="BK65" s="88">
        <v>0.0</v>
      </c>
      <c r="BP65" s="88" t="s">
        <v>678</v>
      </c>
      <c r="BQ65" s="88">
        <v>0.262</v>
      </c>
      <c r="BV65" s="88" t="s">
        <v>273</v>
      </c>
      <c r="BW65" s="88">
        <v>1.1</v>
      </c>
      <c r="CI65" s="87" t="s">
        <v>673</v>
      </c>
      <c r="CJ65" s="89">
        <v>46037.6590625</v>
      </c>
    </row>
    <row r="66">
      <c r="A66" s="87" t="s">
        <v>679</v>
      </c>
      <c r="F66" s="88"/>
      <c r="G66" s="88" t="s">
        <v>261</v>
      </c>
      <c r="H66" s="88">
        <v>200.0</v>
      </c>
      <c r="I66" s="88" t="s">
        <v>262</v>
      </c>
      <c r="J66" s="88" t="s">
        <v>432</v>
      </c>
      <c r="K66" s="88" t="s">
        <v>433</v>
      </c>
      <c r="L66" s="88" t="s">
        <v>680</v>
      </c>
      <c r="M66" s="88">
        <v>66.0</v>
      </c>
      <c r="N66" s="88">
        <v>621.0</v>
      </c>
      <c r="O66" s="88" t="s">
        <v>681</v>
      </c>
      <c r="P66" s="88">
        <v>169.0</v>
      </c>
      <c r="Q66" s="88">
        <v>1038.0</v>
      </c>
      <c r="R66" s="88" t="s">
        <v>682</v>
      </c>
      <c r="S66" s="88">
        <v>117.0</v>
      </c>
      <c r="T66" s="88">
        <v>722.0</v>
      </c>
      <c r="V66" s="88">
        <v>0.0</v>
      </c>
      <c r="W66" s="88" t="s">
        <v>683</v>
      </c>
      <c r="X66" s="88">
        <v>59.0</v>
      </c>
      <c r="Z66" s="88">
        <v>0.0</v>
      </c>
      <c r="AA66" s="88" t="s">
        <v>287</v>
      </c>
      <c r="AB66" s="88">
        <v>16.0</v>
      </c>
      <c r="AC66" s="88" t="s">
        <v>288</v>
      </c>
      <c r="AD66" s="88">
        <v>34.0</v>
      </c>
      <c r="AE66" s="88" t="s">
        <v>461</v>
      </c>
      <c r="AN66" s="88">
        <v>194021.0</v>
      </c>
      <c r="AO66" s="88">
        <v>36080.0</v>
      </c>
      <c r="AP66" s="88">
        <v>36080.0</v>
      </c>
      <c r="AQ66" s="88">
        <v>13.822</v>
      </c>
      <c r="AS66" s="88">
        <v>3139.0</v>
      </c>
      <c r="AT66" s="88">
        <v>489.0</v>
      </c>
      <c r="AU66" s="88">
        <v>6.419</v>
      </c>
      <c r="AV66" s="88">
        <v>41.981</v>
      </c>
      <c r="AW66" s="88" t="s">
        <v>280</v>
      </c>
      <c r="AX66" s="88">
        <v>12.627</v>
      </c>
      <c r="AY66" s="88">
        <v>5.0</v>
      </c>
      <c r="AZ66" s="88">
        <v>1.0</v>
      </c>
      <c r="BB66" s="88">
        <v>4.0</v>
      </c>
      <c r="BC66" s="88">
        <v>2.0</v>
      </c>
      <c r="BD66" s="88">
        <v>0.0</v>
      </c>
      <c r="BE66" s="88">
        <v>1.1</v>
      </c>
      <c r="BF66" s="88">
        <v>131.0</v>
      </c>
      <c r="BG66" s="88">
        <v>54.0</v>
      </c>
      <c r="BH66" s="88">
        <v>0.0</v>
      </c>
      <c r="BI66" s="88">
        <v>16.0</v>
      </c>
      <c r="BJ66" s="88">
        <v>11.0</v>
      </c>
      <c r="BK66" s="88">
        <v>0.0</v>
      </c>
      <c r="BP66" s="88" t="s">
        <v>684</v>
      </c>
      <c r="BQ66" s="88">
        <v>0.136</v>
      </c>
      <c r="BV66" s="88" t="s">
        <v>273</v>
      </c>
      <c r="BW66" s="88">
        <v>1.1</v>
      </c>
      <c r="CI66" s="87" t="s">
        <v>679</v>
      </c>
      <c r="CJ66" s="89">
        <v>46037.65940972222</v>
      </c>
    </row>
    <row r="67">
      <c r="A67" s="87" t="s">
        <v>685</v>
      </c>
      <c r="B67" s="88" t="s">
        <v>336</v>
      </c>
      <c r="C67" s="88" t="s">
        <v>337</v>
      </c>
      <c r="E67" s="88" t="s">
        <v>260</v>
      </c>
      <c r="F67" s="88"/>
      <c r="G67" s="88" t="s">
        <v>261</v>
      </c>
      <c r="H67" s="88">
        <v>200.0</v>
      </c>
      <c r="I67" s="88" t="s">
        <v>262</v>
      </c>
      <c r="J67" s="88" t="s">
        <v>263</v>
      </c>
      <c r="L67" s="88" t="s">
        <v>686</v>
      </c>
      <c r="M67" s="88">
        <v>71.0</v>
      </c>
      <c r="N67" s="88">
        <v>631.0</v>
      </c>
      <c r="O67" s="88" t="s">
        <v>687</v>
      </c>
      <c r="P67" s="88">
        <v>113.0</v>
      </c>
      <c r="Q67" s="88">
        <v>674.0</v>
      </c>
      <c r="R67" s="88" t="s">
        <v>687</v>
      </c>
      <c r="S67" s="88">
        <v>113.0</v>
      </c>
      <c r="T67" s="88">
        <v>674.0</v>
      </c>
      <c r="V67" s="88">
        <v>0.0</v>
      </c>
      <c r="W67" s="88" t="s">
        <v>688</v>
      </c>
      <c r="X67" s="88">
        <v>55.0</v>
      </c>
      <c r="Z67" s="88">
        <v>0.0</v>
      </c>
      <c r="AA67" s="88" t="s">
        <v>287</v>
      </c>
      <c r="AB67" s="88">
        <v>16.0</v>
      </c>
      <c r="AC67" s="88" t="s">
        <v>288</v>
      </c>
      <c r="AD67" s="88">
        <v>34.0</v>
      </c>
      <c r="AE67" s="88" t="s">
        <v>270</v>
      </c>
      <c r="AH67" s="87" t="s">
        <v>685</v>
      </c>
      <c r="AN67" s="88">
        <v>190695.0</v>
      </c>
      <c r="AO67" s="88">
        <v>34528.0</v>
      </c>
      <c r="AP67" s="88">
        <v>34528.0</v>
      </c>
      <c r="AQ67" s="88">
        <v>13.227</v>
      </c>
      <c r="AS67" s="88">
        <v>2441.0</v>
      </c>
      <c r="AT67" s="88">
        <v>408.0</v>
      </c>
      <c r="AU67" s="88">
        <v>5.983</v>
      </c>
      <c r="AV67" s="88">
        <v>31.25</v>
      </c>
      <c r="AW67" s="88" t="s">
        <v>280</v>
      </c>
      <c r="AX67" s="88">
        <v>10.786</v>
      </c>
      <c r="AY67" s="88">
        <v>3.0</v>
      </c>
      <c r="AZ67" s="88">
        <v>1.0</v>
      </c>
      <c r="BB67" s="88">
        <v>5.0</v>
      </c>
      <c r="BC67" s="88">
        <v>3.0</v>
      </c>
      <c r="BD67" s="88">
        <v>0.0</v>
      </c>
      <c r="BE67" s="88">
        <v>1.66</v>
      </c>
      <c r="BF67" s="88">
        <v>129.0</v>
      </c>
      <c r="BG67" s="88">
        <v>52.0</v>
      </c>
      <c r="BH67" s="88">
        <v>0.0</v>
      </c>
      <c r="BI67" s="88">
        <v>25.0</v>
      </c>
      <c r="BJ67" s="88">
        <v>16.0</v>
      </c>
      <c r="BK67" s="88">
        <v>0.0</v>
      </c>
      <c r="BP67" s="88" t="s">
        <v>689</v>
      </c>
      <c r="BQ67" s="88">
        <v>0.148</v>
      </c>
      <c r="BV67" s="88" t="s">
        <v>273</v>
      </c>
      <c r="BW67" s="88">
        <v>1.1</v>
      </c>
      <c r="CI67" s="87" t="s">
        <v>685</v>
      </c>
      <c r="CJ67" s="89">
        <v>46037.6590625</v>
      </c>
    </row>
    <row r="68">
      <c r="A68" s="87" t="s">
        <v>690</v>
      </c>
      <c r="D68" s="88">
        <v>1.0</v>
      </c>
      <c r="E68" s="88" t="s">
        <v>260</v>
      </c>
      <c r="F68" s="88"/>
      <c r="G68" s="88" t="s">
        <v>261</v>
      </c>
      <c r="H68" s="88">
        <v>200.0</v>
      </c>
      <c r="I68" s="88" t="s">
        <v>262</v>
      </c>
      <c r="J68" s="88" t="s">
        <v>263</v>
      </c>
      <c r="L68" s="88" t="s">
        <v>691</v>
      </c>
      <c r="M68" s="88">
        <v>73.0</v>
      </c>
      <c r="N68" s="88">
        <v>663.0</v>
      </c>
      <c r="O68" s="88" t="s">
        <v>692</v>
      </c>
      <c r="P68" s="88">
        <v>178.0</v>
      </c>
      <c r="Q68" s="88">
        <v>1095.0</v>
      </c>
      <c r="R68" s="88" t="s">
        <v>693</v>
      </c>
      <c r="S68" s="88">
        <v>91.0</v>
      </c>
      <c r="T68" s="88">
        <v>568.0</v>
      </c>
      <c r="V68" s="88">
        <v>0.0</v>
      </c>
      <c r="W68" s="88" t="s">
        <v>694</v>
      </c>
      <c r="X68" s="88">
        <v>65.0</v>
      </c>
      <c r="Z68" s="88">
        <v>0.0</v>
      </c>
      <c r="AA68" s="88" t="s">
        <v>287</v>
      </c>
      <c r="AB68" s="88">
        <v>16.0</v>
      </c>
      <c r="AC68" s="88" t="s">
        <v>288</v>
      </c>
      <c r="AD68" s="88">
        <v>34.0</v>
      </c>
      <c r="AE68" s="88" t="s">
        <v>270</v>
      </c>
      <c r="AH68" s="87" t="s">
        <v>690</v>
      </c>
      <c r="AN68" s="88">
        <v>182217.0</v>
      </c>
      <c r="AO68" s="88">
        <v>32612.0</v>
      </c>
      <c r="AP68" s="88">
        <v>32612.0</v>
      </c>
      <c r="AQ68" s="88">
        <v>12.493</v>
      </c>
      <c r="AS68" s="88">
        <v>1719.0</v>
      </c>
      <c r="AT68" s="88">
        <v>285.0</v>
      </c>
      <c r="AU68" s="88">
        <v>6.032</v>
      </c>
      <c r="AV68" s="88">
        <v>48.689</v>
      </c>
      <c r="AW68" s="88" t="s">
        <v>280</v>
      </c>
      <c r="AX68" s="88">
        <v>7.891</v>
      </c>
      <c r="AY68" s="88">
        <v>3.0</v>
      </c>
      <c r="AZ68" s="88">
        <v>1.0</v>
      </c>
      <c r="BB68" s="88">
        <v>4.0</v>
      </c>
      <c r="BC68" s="88">
        <v>2.0</v>
      </c>
      <c r="BD68" s="88">
        <v>0.0</v>
      </c>
      <c r="BE68" s="88">
        <v>1.1</v>
      </c>
      <c r="BF68" s="88">
        <v>128.0</v>
      </c>
      <c r="BG68" s="88">
        <v>51.0</v>
      </c>
      <c r="BH68" s="88">
        <v>0.0</v>
      </c>
      <c r="BI68" s="88">
        <v>17.0</v>
      </c>
      <c r="BJ68" s="88">
        <v>12.0</v>
      </c>
      <c r="BK68" s="88">
        <v>0.0</v>
      </c>
      <c r="BP68" s="88" t="s">
        <v>695</v>
      </c>
      <c r="BQ68" s="88">
        <v>0.166</v>
      </c>
      <c r="BV68" s="88" t="s">
        <v>273</v>
      </c>
      <c r="BW68" s="88">
        <v>1.1</v>
      </c>
      <c r="BX68" s="88">
        <v>2.0</v>
      </c>
      <c r="BY68" s="88">
        <v>1.0</v>
      </c>
      <c r="BZ68" s="88">
        <v>1.0</v>
      </c>
      <c r="CA68" s="88">
        <v>0.0</v>
      </c>
      <c r="CB68" s="88">
        <v>6.0</v>
      </c>
      <c r="CC68" s="88">
        <v>0.0</v>
      </c>
      <c r="CI68" s="87" t="s">
        <v>690</v>
      </c>
      <c r="CJ68" s="89">
        <v>46037.6590625</v>
      </c>
    </row>
    <row r="69">
      <c r="A69" s="87" t="s">
        <v>696</v>
      </c>
      <c r="D69" s="88">
        <v>1.0</v>
      </c>
      <c r="E69" s="88" t="s">
        <v>260</v>
      </c>
      <c r="F69" s="88"/>
      <c r="G69" s="88" t="s">
        <v>261</v>
      </c>
      <c r="H69" s="88">
        <v>200.0</v>
      </c>
      <c r="I69" s="88" t="s">
        <v>262</v>
      </c>
      <c r="J69" s="88" t="s">
        <v>263</v>
      </c>
      <c r="L69" s="88" t="s">
        <v>697</v>
      </c>
      <c r="M69" s="88">
        <v>34.0</v>
      </c>
      <c r="N69" s="88">
        <v>313.0</v>
      </c>
      <c r="O69" s="88" t="s">
        <v>698</v>
      </c>
      <c r="P69" s="88">
        <v>166.0</v>
      </c>
      <c r="Q69" s="88">
        <v>1007.0</v>
      </c>
      <c r="R69" s="88" t="s">
        <v>698</v>
      </c>
      <c r="S69" s="88">
        <v>166.0</v>
      </c>
      <c r="T69" s="88">
        <v>1007.0</v>
      </c>
      <c r="V69" s="88">
        <v>0.0</v>
      </c>
      <c r="W69" s="88" t="s">
        <v>699</v>
      </c>
      <c r="X69" s="88">
        <v>18.0</v>
      </c>
      <c r="Z69" s="88">
        <v>0.0</v>
      </c>
      <c r="AA69" s="88" t="s">
        <v>427</v>
      </c>
      <c r="AB69" s="88">
        <v>46.0</v>
      </c>
      <c r="AC69" s="88" t="s">
        <v>428</v>
      </c>
      <c r="AD69" s="88">
        <v>16.0</v>
      </c>
      <c r="AE69" s="88" t="s">
        <v>270</v>
      </c>
      <c r="AH69" s="87" t="s">
        <v>696</v>
      </c>
      <c r="AN69" s="88">
        <v>123735.0</v>
      </c>
      <c r="AO69" s="88">
        <v>22583.0</v>
      </c>
      <c r="AP69" s="88">
        <v>22583.0</v>
      </c>
      <c r="AQ69" s="88">
        <v>8.651</v>
      </c>
      <c r="AS69" s="88">
        <v>221.0</v>
      </c>
      <c r="AT69" s="88">
        <v>41.0</v>
      </c>
      <c r="AU69" s="88">
        <v>5.39</v>
      </c>
      <c r="AV69" s="88">
        <v>70.444</v>
      </c>
      <c r="AW69" s="88" t="s">
        <v>438</v>
      </c>
      <c r="AX69" s="88">
        <v>3.597</v>
      </c>
      <c r="AY69" s="88">
        <v>1.0</v>
      </c>
      <c r="AZ69" s="88">
        <v>1.0</v>
      </c>
      <c r="BB69" s="88">
        <v>362.0</v>
      </c>
      <c r="BC69" s="88">
        <v>180.0</v>
      </c>
      <c r="BD69" s="88">
        <v>0.0</v>
      </c>
      <c r="BE69" s="88">
        <v>99.45</v>
      </c>
      <c r="BF69" s="88">
        <v>91.0</v>
      </c>
      <c r="BG69" s="88">
        <v>41.0</v>
      </c>
      <c r="BH69" s="88">
        <v>0.0</v>
      </c>
      <c r="BI69" s="88">
        <v>2.0</v>
      </c>
      <c r="BJ69" s="88">
        <v>2.0</v>
      </c>
      <c r="BK69" s="88">
        <v>0.0</v>
      </c>
      <c r="BP69" s="88" t="s">
        <v>700</v>
      </c>
      <c r="BQ69" s="88">
        <v>0.138</v>
      </c>
      <c r="BV69" s="88" t="s">
        <v>273</v>
      </c>
      <c r="BW69" s="88">
        <v>1.1</v>
      </c>
      <c r="BX69" s="88">
        <v>1.0</v>
      </c>
      <c r="BY69" s="88">
        <v>0.0</v>
      </c>
      <c r="BZ69" s="88">
        <v>0.0</v>
      </c>
      <c r="CA69" s="88">
        <v>0.0</v>
      </c>
      <c r="CB69" s="88">
        <v>3.0</v>
      </c>
      <c r="CC69" s="88">
        <v>0.0</v>
      </c>
      <c r="CI69" s="87" t="s">
        <v>696</v>
      </c>
      <c r="CJ69" s="89">
        <v>46037.65888888889</v>
      </c>
    </row>
    <row r="70">
      <c r="A70" s="87" t="s">
        <v>701</v>
      </c>
      <c r="F70" s="88"/>
      <c r="G70" s="88" t="s">
        <v>261</v>
      </c>
      <c r="H70" s="88">
        <v>200.0</v>
      </c>
      <c r="I70" s="88" t="s">
        <v>262</v>
      </c>
      <c r="J70" s="88" t="s">
        <v>263</v>
      </c>
      <c r="L70" s="88" t="s">
        <v>702</v>
      </c>
      <c r="M70" s="88">
        <v>67.0</v>
      </c>
      <c r="N70" s="88">
        <v>617.0</v>
      </c>
      <c r="O70" s="88" t="s">
        <v>703</v>
      </c>
      <c r="P70" s="88">
        <v>166.0</v>
      </c>
      <c r="Q70" s="88">
        <v>1041.0</v>
      </c>
      <c r="R70" s="88" t="s">
        <v>704</v>
      </c>
      <c r="S70" s="88">
        <v>121.0</v>
      </c>
      <c r="T70" s="88">
        <v>746.0</v>
      </c>
      <c r="V70" s="88">
        <v>0.0</v>
      </c>
      <c r="W70" s="88" t="s">
        <v>705</v>
      </c>
      <c r="X70" s="88">
        <v>53.0</v>
      </c>
      <c r="Z70" s="88">
        <v>0.0</v>
      </c>
      <c r="AA70" s="88" t="s">
        <v>287</v>
      </c>
      <c r="AB70" s="88">
        <v>16.0</v>
      </c>
      <c r="AC70" s="88" t="s">
        <v>288</v>
      </c>
      <c r="AD70" s="88">
        <v>34.0</v>
      </c>
      <c r="AE70" s="88" t="s">
        <v>270</v>
      </c>
      <c r="AH70" s="87" t="s">
        <v>701</v>
      </c>
      <c r="AN70" s="88">
        <v>186143.0</v>
      </c>
      <c r="AO70" s="88">
        <v>33881.0</v>
      </c>
      <c r="AP70" s="88">
        <v>33881.0</v>
      </c>
      <c r="AQ70" s="88">
        <v>12.979</v>
      </c>
      <c r="AS70" s="88">
        <v>2321.0</v>
      </c>
      <c r="AT70" s="88">
        <v>348.0</v>
      </c>
      <c r="AU70" s="88">
        <v>6.67</v>
      </c>
      <c r="AV70" s="88">
        <v>43.951</v>
      </c>
      <c r="AW70" s="88" t="s">
        <v>280</v>
      </c>
      <c r="AX70" s="88">
        <v>10.041</v>
      </c>
      <c r="AY70" s="88">
        <v>4.0</v>
      </c>
      <c r="AZ70" s="88">
        <v>1.0</v>
      </c>
      <c r="BB70" s="88">
        <v>4.0</v>
      </c>
      <c r="BC70" s="88">
        <v>2.0</v>
      </c>
      <c r="BD70" s="88">
        <v>0.0</v>
      </c>
      <c r="BE70" s="88">
        <v>1.1</v>
      </c>
      <c r="BF70" s="88">
        <v>127.0</v>
      </c>
      <c r="BG70" s="88">
        <v>50.0</v>
      </c>
      <c r="BH70" s="88">
        <v>0.0</v>
      </c>
      <c r="BI70" s="88">
        <v>19.0</v>
      </c>
      <c r="BJ70" s="88">
        <v>13.0</v>
      </c>
      <c r="BK70" s="88">
        <v>0.0</v>
      </c>
      <c r="BP70" s="88" t="s">
        <v>706</v>
      </c>
      <c r="BQ70" s="88">
        <v>0.132</v>
      </c>
      <c r="BV70" s="88" t="s">
        <v>273</v>
      </c>
      <c r="BW70" s="88">
        <v>1.1</v>
      </c>
      <c r="CI70" s="87" t="s">
        <v>701</v>
      </c>
      <c r="CJ70" s="89">
        <v>46037.659224537034</v>
      </c>
    </row>
    <row r="71">
      <c r="A71" s="87" t="s">
        <v>707</v>
      </c>
      <c r="B71" s="88" t="s">
        <v>336</v>
      </c>
      <c r="C71" s="88" t="s">
        <v>337</v>
      </c>
      <c r="D71" s="88">
        <v>1.0</v>
      </c>
      <c r="E71" s="88" t="s">
        <v>260</v>
      </c>
      <c r="F71" s="88"/>
      <c r="G71" s="88" t="s">
        <v>261</v>
      </c>
      <c r="H71" s="88">
        <v>200.0</v>
      </c>
      <c r="I71" s="88" t="s">
        <v>262</v>
      </c>
      <c r="J71" s="88" t="s">
        <v>263</v>
      </c>
      <c r="L71" s="88" t="s">
        <v>708</v>
      </c>
      <c r="M71" s="88">
        <v>69.0</v>
      </c>
      <c r="N71" s="88">
        <v>657.0</v>
      </c>
      <c r="O71" s="88" t="s">
        <v>709</v>
      </c>
      <c r="P71" s="88">
        <v>113.0</v>
      </c>
      <c r="Q71" s="88">
        <v>717.0</v>
      </c>
      <c r="R71" s="88" t="s">
        <v>709</v>
      </c>
      <c r="S71" s="88">
        <v>113.0</v>
      </c>
      <c r="T71" s="88">
        <v>717.0</v>
      </c>
      <c r="V71" s="88">
        <v>0.0</v>
      </c>
      <c r="X71" s="88">
        <v>0.0</v>
      </c>
      <c r="Z71" s="88">
        <v>0.0</v>
      </c>
      <c r="AA71" s="88" t="s">
        <v>710</v>
      </c>
      <c r="AB71" s="88">
        <v>34.0</v>
      </c>
      <c r="AC71" s="88" t="s">
        <v>711</v>
      </c>
      <c r="AD71" s="88">
        <v>43.0</v>
      </c>
      <c r="AE71" s="88" t="s">
        <v>270</v>
      </c>
      <c r="AH71" s="87" t="s">
        <v>707</v>
      </c>
      <c r="AN71" s="88">
        <v>133225.0</v>
      </c>
      <c r="AO71" s="88">
        <v>28012.0</v>
      </c>
      <c r="AP71" s="88">
        <v>28012.0</v>
      </c>
      <c r="AQ71" s="88">
        <v>10.731</v>
      </c>
      <c r="AS71" s="88">
        <v>2163.0</v>
      </c>
      <c r="AT71" s="88">
        <v>319.0</v>
      </c>
      <c r="AU71" s="88">
        <v>6.781</v>
      </c>
      <c r="AV71" s="88">
        <v>29.658</v>
      </c>
      <c r="AW71" s="88" t="s">
        <v>373</v>
      </c>
      <c r="AX71" s="88">
        <v>14.19</v>
      </c>
      <c r="AY71" s="88">
        <v>3.0</v>
      </c>
      <c r="AZ71" s="88">
        <v>1.0</v>
      </c>
      <c r="BB71" s="88">
        <v>5.0</v>
      </c>
      <c r="BC71" s="88">
        <v>3.0</v>
      </c>
      <c r="BD71" s="88">
        <v>0.0</v>
      </c>
      <c r="BE71" s="88">
        <v>1.66</v>
      </c>
      <c r="BF71" s="88">
        <v>94.0</v>
      </c>
      <c r="BG71" s="88">
        <v>45.0</v>
      </c>
      <c r="BH71" s="88">
        <v>0.0</v>
      </c>
      <c r="BI71" s="88">
        <v>2.0</v>
      </c>
      <c r="BJ71" s="88">
        <v>2.0</v>
      </c>
      <c r="BK71" s="88">
        <v>0.0</v>
      </c>
      <c r="BP71" s="88" t="s">
        <v>712</v>
      </c>
      <c r="BQ71" s="88">
        <v>0.107</v>
      </c>
      <c r="BV71" s="88" t="s">
        <v>273</v>
      </c>
      <c r="BW71" s="88">
        <v>1.1</v>
      </c>
      <c r="BX71" s="88">
        <v>4.0</v>
      </c>
      <c r="BY71" s="88">
        <v>1.0</v>
      </c>
      <c r="BZ71" s="88">
        <v>1.0</v>
      </c>
      <c r="CA71" s="88">
        <v>0.0</v>
      </c>
      <c r="CB71" s="88">
        <v>12.0</v>
      </c>
      <c r="CC71" s="88">
        <v>0.0</v>
      </c>
      <c r="CI71" s="87" t="s">
        <v>707</v>
      </c>
      <c r="CJ71" s="89">
        <v>46037.659050925926</v>
      </c>
    </row>
    <row r="72">
      <c r="A72" s="87" t="s">
        <v>713</v>
      </c>
      <c r="E72" s="88" t="s">
        <v>260</v>
      </c>
      <c r="F72" s="88"/>
      <c r="G72" s="88" t="s">
        <v>261</v>
      </c>
      <c r="H72" s="88">
        <v>200.0</v>
      </c>
      <c r="I72" s="88" t="s">
        <v>262</v>
      </c>
      <c r="J72" s="88" t="s">
        <v>263</v>
      </c>
      <c r="L72" s="88" t="s">
        <v>714</v>
      </c>
      <c r="M72" s="88">
        <v>59.0</v>
      </c>
      <c r="N72" s="88">
        <v>565.0</v>
      </c>
      <c r="O72" s="88" t="s">
        <v>715</v>
      </c>
      <c r="P72" s="88">
        <v>223.0</v>
      </c>
      <c r="Q72" s="88">
        <v>1392.0</v>
      </c>
      <c r="R72" s="88" t="s">
        <v>716</v>
      </c>
      <c r="S72" s="88">
        <v>122.0</v>
      </c>
      <c r="T72" s="88">
        <v>774.0</v>
      </c>
      <c r="V72" s="88">
        <v>0.0</v>
      </c>
      <c r="W72" s="88" t="s">
        <v>717</v>
      </c>
      <c r="X72" s="88">
        <v>58.0</v>
      </c>
      <c r="Z72" s="88">
        <v>0.0</v>
      </c>
      <c r="AA72" s="88" t="s">
        <v>287</v>
      </c>
      <c r="AB72" s="88">
        <v>16.0</v>
      </c>
      <c r="AC72" s="88" t="s">
        <v>288</v>
      </c>
      <c r="AD72" s="88">
        <v>34.0</v>
      </c>
      <c r="AE72" s="88" t="s">
        <v>270</v>
      </c>
      <c r="AH72" s="87" t="s">
        <v>713</v>
      </c>
      <c r="AN72" s="88">
        <v>184614.0</v>
      </c>
      <c r="AO72" s="88">
        <v>33259.0</v>
      </c>
      <c r="AP72" s="88">
        <v>33259.0</v>
      </c>
      <c r="AQ72" s="88">
        <v>12.741</v>
      </c>
      <c r="AS72" s="88">
        <v>2049.0</v>
      </c>
      <c r="AT72" s="88">
        <v>327.0</v>
      </c>
      <c r="AU72" s="88">
        <v>6.266</v>
      </c>
      <c r="AV72" s="88">
        <v>48.368</v>
      </c>
      <c r="AW72" s="88" t="s">
        <v>280</v>
      </c>
      <c r="AX72" s="88">
        <v>8.988</v>
      </c>
      <c r="AY72" s="88">
        <v>5.0</v>
      </c>
      <c r="AZ72" s="88">
        <v>1.0</v>
      </c>
      <c r="BB72" s="88">
        <v>4.0</v>
      </c>
      <c r="BC72" s="88">
        <v>2.0</v>
      </c>
      <c r="BD72" s="88">
        <v>0.0</v>
      </c>
      <c r="BE72" s="88">
        <v>1.1</v>
      </c>
      <c r="BF72" s="88">
        <v>129.0</v>
      </c>
      <c r="BG72" s="88">
        <v>52.0</v>
      </c>
      <c r="BH72" s="88">
        <v>0.0</v>
      </c>
      <c r="BI72" s="88">
        <v>17.0</v>
      </c>
      <c r="BJ72" s="88">
        <v>12.0</v>
      </c>
      <c r="BK72" s="88">
        <v>0.0</v>
      </c>
      <c r="BP72" s="88" t="s">
        <v>718</v>
      </c>
      <c r="BQ72" s="88">
        <v>0.089</v>
      </c>
      <c r="BV72" s="88" t="s">
        <v>273</v>
      </c>
      <c r="BW72" s="88">
        <v>1.1</v>
      </c>
      <c r="CI72" s="87" t="s">
        <v>713</v>
      </c>
      <c r="CJ72" s="89">
        <v>46037.659421296295</v>
      </c>
    </row>
    <row r="73">
      <c r="A73" s="87" t="s">
        <v>719</v>
      </c>
      <c r="D73" s="88">
        <v>5.0</v>
      </c>
      <c r="E73" s="88" t="s">
        <v>631</v>
      </c>
      <c r="F73" s="88"/>
      <c r="G73" s="88" t="s">
        <v>261</v>
      </c>
      <c r="H73" s="88">
        <v>200.0</v>
      </c>
      <c r="I73" s="88" t="s">
        <v>262</v>
      </c>
      <c r="J73" s="88" t="s">
        <v>263</v>
      </c>
      <c r="L73" s="88" t="s">
        <v>720</v>
      </c>
      <c r="M73" s="88">
        <v>45.0</v>
      </c>
      <c r="N73" s="88">
        <v>416.0</v>
      </c>
      <c r="O73" s="88" t="s">
        <v>721</v>
      </c>
      <c r="P73" s="88">
        <v>213.0</v>
      </c>
      <c r="Q73" s="88">
        <v>1287.0</v>
      </c>
      <c r="R73" s="88" t="s">
        <v>722</v>
      </c>
      <c r="S73" s="88">
        <v>142.0</v>
      </c>
      <c r="T73" s="88">
        <v>876.0</v>
      </c>
      <c r="V73" s="88">
        <v>0.0</v>
      </c>
      <c r="W73" s="88" t="s">
        <v>723</v>
      </c>
      <c r="X73" s="88">
        <v>26.0</v>
      </c>
      <c r="Z73" s="88">
        <v>0.0</v>
      </c>
      <c r="AA73" s="88" t="s">
        <v>288</v>
      </c>
      <c r="AB73" s="88">
        <v>34.0</v>
      </c>
      <c r="AC73" s="88" t="s">
        <v>724</v>
      </c>
      <c r="AD73" s="88">
        <v>46.0</v>
      </c>
      <c r="AE73" s="88" t="s">
        <v>270</v>
      </c>
      <c r="AH73" s="87" t="s">
        <v>719</v>
      </c>
      <c r="AN73" s="88">
        <v>239850.0</v>
      </c>
      <c r="AO73" s="88">
        <v>33427.0</v>
      </c>
      <c r="AP73" s="88">
        <v>33427.0</v>
      </c>
      <c r="AQ73" s="88">
        <v>12.805</v>
      </c>
      <c r="AS73" s="88">
        <v>1529.0</v>
      </c>
      <c r="AT73" s="88">
        <v>237.0</v>
      </c>
      <c r="AU73" s="88">
        <v>6.451</v>
      </c>
      <c r="AV73" s="88">
        <v>49.954</v>
      </c>
      <c r="AW73" s="88" t="s">
        <v>280</v>
      </c>
      <c r="AX73" s="88">
        <v>5.551</v>
      </c>
      <c r="AY73" s="88">
        <v>1.0</v>
      </c>
      <c r="AZ73" s="88">
        <v>1.0</v>
      </c>
      <c r="BB73" s="88">
        <v>361.0</v>
      </c>
      <c r="BC73" s="88">
        <v>180.0</v>
      </c>
      <c r="BD73" s="88">
        <v>0.0</v>
      </c>
      <c r="BE73" s="88">
        <v>99.45</v>
      </c>
      <c r="BF73" s="88">
        <v>108.0</v>
      </c>
      <c r="BG73" s="88">
        <v>41.0</v>
      </c>
      <c r="BH73" s="88">
        <v>0.0</v>
      </c>
      <c r="BI73" s="88">
        <v>12.0</v>
      </c>
      <c r="BJ73" s="88">
        <v>7.0</v>
      </c>
      <c r="BK73" s="88">
        <v>0.0</v>
      </c>
      <c r="BP73" s="88" t="s">
        <v>725</v>
      </c>
      <c r="BQ73" s="88">
        <v>0.147</v>
      </c>
      <c r="BV73" s="88" t="s">
        <v>273</v>
      </c>
      <c r="BW73" s="88">
        <v>1.1</v>
      </c>
      <c r="BX73" s="88">
        <v>5.0</v>
      </c>
      <c r="BY73" s="88">
        <v>1.0</v>
      </c>
      <c r="BZ73" s="88">
        <v>0.2</v>
      </c>
      <c r="CA73" s="88">
        <v>0.0</v>
      </c>
      <c r="CB73" s="88">
        <v>17.0</v>
      </c>
      <c r="CC73" s="88">
        <v>0.0</v>
      </c>
      <c r="CI73" s="87" t="s">
        <v>719</v>
      </c>
      <c r="CJ73" s="89">
        <v>46037.65892361111</v>
      </c>
    </row>
    <row r="74">
      <c r="A74" s="87" t="s">
        <v>726</v>
      </c>
      <c r="D74" s="88">
        <v>4.0</v>
      </c>
      <c r="E74" s="88" t="s">
        <v>449</v>
      </c>
      <c r="F74" s="88"/>
      <c r="G74" s="88" t="s">
        <v>261</v>
      </c>
      <c r="H74" s="88">
        <v>200.0</v>
      </c>
      <c r="I74" s="88" t="s">
        <v>262</v>
      </c>
      <c r="J74" s="88" t="s">
        <v>263</v>
      </c>
      <c r="L74" s="88" t="s">
        <v>727</v>
      </c>
      <c r="M74" s="88">
        <v>34.0</v>
      </c>
      <c r="N74" s="88">
        <v>299.0</v>
      </c>
      <c r="O74" s="88" t="s">
        <v>728</v>
      </c>
      <c r="P74" s="88">
        <v>162.0</v>
      </c>
      <c r="Q74" s="88">
        <v>984.0</v>
      </c>
      <c r="R74" s="88" t="s">
        <v>728</v>
      </c>
      <c r="S74" s="88">
        <v>162.0</v>
      </c>
      <c r="T74" s="88">
        <v>984.0</v>
      </c>
      <c r="V74" s="88">
        <v>0.0</v>
      </c>
      <c r="W74" s="88" t="s">
        <v>729</v>
      </c>
      <c r="X74" s="88">
        <v>18.0</v>
      </c>
      <c r="Z74" s="88">
        <v>0.0</v>
      </c>
      <c r="AA74" s="88" t="s">
        <v>288</v>
      </c>
      <c r="AB74" s="88">
        <v>34.0</v>
      </c>
      <c r="AC74" s="88" t="s">
        <v>730</v>
      </c>
      <c r="AD74" s="88">
        <v>42.0</v>
      </c>
      <c r="AE74" s="88" t="s">
        <v>270</v>
      </c>
      <c r="AH74" s="87" t="s">
        <v>726</v>
      </c>
      <c r="AN74" s="88">
        <v>244843.0</v>
      </c>
      <c r="AO74" s="88">
        <v>34202.0</v>
      </c>
      <c r="AP74" s="88">
        <v>34202.0</v>
      </c>
      <c r="AQ74" s="88">
        <v>13.102</v>
      </c>
      <c r="AS74" s="88">
        <v>1781.0</v>
      </c>
      <c r="AT74" s="88">
        <v>276.0</v>
      </c>
      <c r="AU74" s="88">
        <v>6.453</v>
      </c>
      <c r="AV74" s="88">
        <v>50.038</v>
      </c>
      <c r="AW74" s="88" t="s">
        <v>304</v>
      </c>
      <c r="AX74" s="88">
        <v>6.145</v>
      </c>
      <c r="AY74" s="88">
        <v>1.0</v>
      </c>
      <c r="AZ74" s="88">
        <v>1.0</v>
      </c>
      <c r="BB74" s="88">
        <v>364.0</v>
      </c>
      <c r="BC74" s="88">
        <v>180.0</v>
      </c>
      <c r="BD74" s="88">
        <v>0.0</v>
      </c>
      <c r="BE74" s="88">
        <v>99.45</v>
      </c>
      <c r="BF74" s="88">
        <v>108.0</v>
      </c>
      <c r="BG74" s="88">
        <v>41.0</v>
      </c>
      <c r="BH74" s="88">
        <v>0.0</v>
      </c>
      <c r="BI74" s="88">
        <v>12.0</v>
      </c>
      <c r="BJ74" s="88">
        <v>7.0</v>
      </c>
      <c r="BK74" s="88">
        <v>0.0</v>
      </c>
      <c r="BP74" s="88" t="s">
        <v>731</v>
      </c>
      <c r="BQ74" s="88">
        <v>0.194</v>
      </c>
      <c r="BV74" s="88" t="s">
        <v>273</v>
      </c>
      <c r="BW74" s="88">
        <v>1.1</v>
      </c>
      <c r="BX74" s="88">
        <v>5.0</v>
      </c>
      <c r="BY74" s="88">
        <v>1.0</v>
      </c>
      <c r="BZ74" s="88">
        <v>0.25</v>
      </c>
      <c r="CA74" s="88">
        <v>0.0</v>
      </c>
      <c r="CB74" s="88">
        <v>13.0</v>
      </c>
      <c r="CC74" s="88">
        <v>0.0</v>
      </c>
      <c r="CI74" s="87" t="s">
        <v>726</v>
      </c>
      <c r="CJ74" s="89">
        <v>46037.65891203703</v>
      </c>
    </row>
    <row r="75">
      <c r="A75" s="87" t="s">
        <v>732</v>
      </c>
      <c r="B75" s="88" t="s">
        <v>336</v>
      </c>
      <c r="C75" s="88" t="s">
        <v>337</v>
      </c>
      <c r="E75" s="88" t="s">
        <v>571</v>
      </c>
      <c r="F75" s="88"/>
      <c r="G75" s="88" t="s">
        <v>261</v>
      </c>
      <c r="H75" s="88">
        <v>200.0</v>
      </c>
      <c r="I75" s="88" t="s">
        <v>262</v>
      </c>
      <c r="J75" s="88" t="s">
        <v>263</v>
      </c>
      <c r="L75" s="88" t="s">
        <v>733</v>
      </c>
      <c r="M75" s="88">
        <v>73.0</v>
      </c>
      <c r="N75" s="88">
        <v>658.0</v>
      </c>
      <c r="O75" s="88" t="s">
        <v>734</v>
      </c>
      <c r="P75" s="88">
        <v>191.0</v>
      </c>
      <c r="Q75" s="88">
        <v>1178.0</v>
      </c>
      <c r="R75" s="88" t="s">
        <v>735</v>
      </c>
      <c r="S75" s="88">
        <v>136.0</v>
      </c>
      <c r="T75" s="88">
        <v>830.0</v>
      </c>
      <c r="V75" s="88">
        <v>0.0</v>
      </c>
      <c r="X75" s="88">
        <v>0.0</v>
      </c>
      <c r="Z75" s="88">
        <v>0.0</v>
      </c>
      <c r="AA75" s="88" t="s">
        <v>736</v>
      </c>
      <c r="AB75" s="88">
        <v>29.0</v>
      </c>
      <c r="AC75" s="88" t="s">
        <v>737</v>
      </c>
      <c r="AD75" s="88">
        <v>28.0</v>
      </c>
      <c r="AE75" s="88" t="s">
        <v>270</v>
      </c>
      <c r="AH75" s="87" t="s">
        <v>732</v>
      </c>
      <c r="AN75" s="88">
        <v>137455.0</v>
      </c>
      <c r="AO75" s="88">
        <v>28747.0</v>
      </c>
      <c r="AP75" s="88">
        <v>28747.0</v>
      </c>
      <c r="AQ75" s="88">
        <v>11.012</v>
      </c>
      <c r="AS75" s="88">
        <v>2449.0</v>
      </c>
      <c r="AT75" s="88">
        <v>357.0</v>
      </c>
      <c r="AU75" s="88">
        <v>6.86</v>
      </c>
      <c r="AV75" s="88">
        <v>31.329</v>
      </c>
      <c r="AW75" s="88" t="s">
        <v>280</v>
      </c>
      <c r="AX75" s="88">
        <v>15.039</v>
      </c>
      <c r="AY75" s="88">
        <v>3.0</v>
      </c>
      <c r="AZ75" s="88">
        <v>1.0</v>
      </c>
      <c r="BB75" s="88">
        <v>6.0</v>
      </c>
      <c r="BC75" s="88">
        <v>4.0</v>
      </c>
      <c r="BD75" s="88">
        <v>0.0</v>
      </c>
      <c r="BE75" s="88">
        <v>2.21</v>
      </c>
      <c r="BF75" s="88">
        <v>98.0</v>
      </c>
      <c r="BG75" s="88">
        <v>48.0</v>
      </c>
      <c r="BH75" s="88">
        <v>0.0</v>
      </c>
      <c r="BI75" s="88">
        <v>19.0</v>
      </c>
      <c r="BJ75" s="88">
        <v>13.0</v>
      </c>
      <c r="BK75" s="88">
        <v>0.0</v>
      </c>
      <c r="BP75" s="88" t="s">
        <v>738</v>
      </c>
      <c r="BQ75" s="88">
        <v>0.087</v>
      </c>
      <c r="BV75" s="88" t="s">
        <v>273</v>
      </c>
      <c r="BW75" s="88">
        <v>1.1</v>
      </c>
      <c r="CI75" s="87" t="s">
        <v>732</v>
      </c>
      <c r="CJ75" s="89">
        <v>46037.6590162037</v>
      </c>
    </row>
    <row r="76">
      <c r="A76" s="87" t="s">
        <v>739</v>
      </c>
      <c r="B76" s="88" t="s">
        <v>336</v>
      </c>
      <c r="C76" s="88" t="s">
        <v>337</v>
      </c>
      <c r="E76" s="88" t="s">
        <v>345</v>
      </c>
      <c r="F76" s="87" t="s">
        <v>740</v>
      </c>
      <c r="G76" s="88" t="s">
        <v>261</v>
      </c>
      <c r="H76" s="88">
        <v>200.0</v>
      </c>
      <c r="I76" s="88" t="s">
        <v>262</v>
      </c>
      <c r="J76" s="88" t="s">
        <v>263</v>
      </c>
      <c r="L76" s="88" t="s">
        <v>741</v>
      </c>
      <c r="M76" s="88">
        <v>60.0</v>
      </c>
      <c r="N76" s="88">
        <v>554.0</v>
      </c>
      <c r="O76" s="88" t="s">
        <v>742</v>
      </c>
      <c r="P76" s="88">
        <v>160.0</v>
      </c>
      <c r="Q76" s="88">
        <v>990.0</v>
      </c>
      <c r="R76" s="88" t="s">
        <v>743</v>
      </c>
      <c r="S76" s="88">
        <v>117.0</v>
      </c>
      <c r="T76" s="88">
        <v>718.0</v>
      </c>
      <c r="V76" s="88">
        <v>0.0</v>
      </c>
      <c r="W76" s="88" t="s">
        <v>744</v>
      </c>
      <c r="X76" s="88">
        <v>58.0</v>
      </c>
      <c r="Z76" s="88">
        <v>0.0</v>
      </c>
      <c r="AA76" s="88" t="s">
        <v>287</v>
      </c>
      <c r="AB76" s="88">
        <v>16.0</v>
      </c>
      <c r="AC76" s="88" t="s">
        <v>288</v>
      </c>
      <c r="AD76" s="88">
        <v>34.0</v>
      </c>
      <c r="AE76" s="88" t="s">
        <v>270</v>
      </c>
      <c r="AH76" s="87" t="s">
        <v>739</v>
      </c>
      <c r="AN76" s="88">
        <v>188888.0</v>
      </c>
      <c r="AO76" s="88">
        <v>34222.0</v>
      </c>
      <c r="AP76" s="88">
        <v>34222.0</v>
      </c>
      <c r="AQ76" s="88">
        <v>13.11</v>
      </c>
      <c r="AS76" s="88">
        <v>2360.0</v>
      </c>
      <c r="AT76" s="88">
        <v>374.0</v>
      </c>
      <c r="AU76" s="88">
        <v>6.31</v>
      </c>
      <c r="AV76" s="88">
        <v>37.037</v>
      </c>
      <c r="AW76" s="88" t="s">
        <v>280</v>
      </c>
      <c r="AX76" s="88">
        <v>10.229</v>
      </c>
      <c r="AY76" s="88">
        <v>4.0</v>
      </c>
      <c r="AZ76" s="88">
        <v>1.0</v>
      </c>
      <c r="BB76" s="88">
        <v>5.0</v>
      </c>
      <c r="BC76" s="88">
        <v>3.0</v>
      </c>
      <c r="BD76" s="88">
        <v>0.0</v>
      </c>
      <c r="BE76" s="88">
        <v>1.66</v>
      </c>
      <c r="BF76" s="88">
        <v>136.0</v>
      </c>
      <c r="BG76" s="88">
        <v>59.0</v>
      </c>
      <c r="BH76" s="88">
        <v>0.0</v>
      </c>
      <c r="BI76" s="88">
        <v>20.0</v>
      </c>
      <c r="BJ76" s="88">
        <v>11.0</v>
      </c>
      <c r="BK76" s="88">
        <v>0.0</v>
      </c>
      <c r="BP76" s="88" t="s">
        <v>745</v>
      </c>
      <c r="BQ76" s="88">
        <v>0.13</v>
      </c>
      <c r="BV76" s="88" t="s">
        <v>273</v>
      </c>
      <c r="BW76" s="88">
        <v>1.1</v>
      </c>
      <c r="CI76" s="87" t="s">
        <v>739</v>
      </c>
      <c r="CJ76" s="89">
        <v>46037.6593287037</v>
      </c>
    </row>
    <row r="77">
      <c r="A77" s="87" t="s">
        <v>746</v>
      </c>
      <c r="B77" s="88" t="s">
        <v>336</v>
      </c>
      <c r="C77" s="88" t="s">
        <v>337</v>
      </c>
      <c r="D77" s="88">
        <v>4.0</v>
      </c>
      <c r="E77" s="88" t="s">
        <v>747</v>
      </c>
      <c r="F77" s="87" t="s">
        <v>740</v>
      </c>
      <c r="G77" s="88" t="s">
        <v>261</v>
      </c>
      <c r="H77" s="88">
        <v>200.0</v>
      </c>
      <c r="I77" s="88" t="s">
        <v>262</v>
      </c>
      <c r="J77" s="88" t="s">
        <v>263</v>
      </c>
      <c r="L77" s="88" t="s">
        <v>748</v>
      </c>
      <c r="M77" s="88">
        <v>65.0</v>
      </c>
      <c r="N77" s="88">
        <v>593.0</v>
      </c>
      <c r="O77" s="88" t="s">
        <v>749</v>
      </c>
      <c r="P77" s="88">
        <v>174.0</v>
      </c>
      <c r="Q77" s="88">
        <v>1066.0</v>
      </c>
      <c r="R77" s="88" t="s">
        <v>750</v>
      </c>
      <c r="S77" s="88">
        <v>124.0</v>
      </c>
      <c r="T77" s="88">
        <v>762.0</v>
      </c>
      <c r="V77" s="88">
        <v>0.0</v>
      </c>
      <c r="W77" s="88" t="s">
        <v>751</v>
      </c>
      <c r="X77" s="88">
        <v>58.0</v>
      </c>
      <c r="Z77" s="88">
        <v>0.0</v>
      </c>
      <c r="AA77" s="88" t="s">
        <v>287</v>
      </c>
      <c r="AB77" s="88">
        <v>16.0</v>
      </c>
      <c r="AC77" s="88" t="s">
        <v>288</v>
      </c>
      <c r="AD77" s="88">
        <v>34.0</v>
      </c>
      <c r="AE77" s="88" t="s">
        <v>270</v>
      </c>
      <c r="AH77" s="87" t="s">
        <v>746</v>
      </c>
      <c r="AN77" s="88">
        <v>188599.0</v>
      </c>
      <c r="AO77" s="88">
        <v>33778.0</v>
      </c>
      <c r="AP77" s="88">
        <v>33778.0</v>
      </c>
      <c r="AQ77" s="88">
        <v>12.94</v>
      </c>
      <c r="AS77" s="88">
        <v>2262.0</v>
      </c>
      <c r="AT77" s="88">
        <v>353.0</v>
      </c>
      <c r="AU77" s="88">
        <v>6.408</v>
      </c>
      <c r="AV77" s="88">
        <v>38.387</v>
      </c>
      <c r="AW77" s="88" t="s">
        <v>280</v>
      </c>
      <c r="AX77" s="88">
        <v>10.021</v>
      </c>
      <c r="AY77" s="88">
        <v>4.0</v>
      </c>
      <c r="AZ77" s="88">
        <v>1.0</v>
      </c>
      <c r="BB77" s="88">
        <v>4.0</v>
      </c>
      <c r="BC77" s="88">
        <v>2.0</v>
      </c>
      <c r="BD77" s="88">
        <v>0.0</v>
      </c>
      <c r="BE77" s="88">
        <v>1.1</v>
      </c>
      <c r="BF77" s="88">
        <v>133.0</v>
      </c>
      <c r="BG77" s="88">
        <v>56.0</v>
      </c>
      <c r="BH77" s="88">
        <v>0.0</v>
      </c>
      <c r="BI77" s="88">
        <v>22.0</v>
      </c>
      <c r="BJ77" s="88">
        <v>13.0</v>
      </c>
      <c r="BK77" s="88">
        <v>0.0</v>
      </c>
      <c r="BP77" s="88" t="s">
        <v>752</v>
      </c>
      <c r="BQ77" s="88">
        <v>0.175</v>
      </c>
      <c r="BV77" s="88" t="s">
        <v>273</v>
      </c>
      <c r="BW77" s="88">
        <v>1.1</v>
      </c>
      <c r="BX77" s="88">
        <v>5.0</v>
      </c>
      <c r="BY77" s="88">
        <v>2.0</v>
      </c>
      <c r="BZ77" s="88">
        <v>0.5</v>
      </c>
      <c r="CA77" s="88">
        <v>0.0</v>
      </c>
      <c r="CB77" s="88">
        <v>16.0</v>
      </c>
      <c r="CC77" s="88">
        <v>0.0</v>
      </c>
      <c r="CI77" s="87" t="s">
        <v>746</v>
      </c>
      <c r="CJ77" s="89">
        <v>46037.65928240741</v>
      </c>
    </row>
    <row r="78">
      <c r="A78" s="87" t="s">
        <v>753</v>
      </c>
      <c r="B78" s="88" t="s">
        <v>336</v>
      </c>
      <c r="C78" s="88" t="s">
        <v>337</v>
      </c>
      <c r="E78" s="88" t="s">
        <v>754</v>
      </c>
      <c r="F78" s="88"/>
      <c r="G78" s="88" t="s">
        <v>261</v>
      </c>
      <c r="H78" s="88">
        <v>200.0</v>
      </c>
      <c r="I78" s="88" t="s">
        <v>262</v>
      </c>
      <c r="J78" s="88" t="s">
        <v>263</v>
      </c>
      <c r="L78" s="88" t="s">
        <v>755</v>
      </c>
      <c r="M78" s="88">
        <v>68.0</v>
      </c>
      <c r="N78" s="88">
        <v>617.0</v>
      </c>
      <c r="O78" s="88" t="s">
        <v>756</v>
      </c>
      <c r="P78" s="88">
        <v>167.0</v>
      </c>
      <c r="Q78" s="88">
        <v>1019.0</v>
      </c>
      <c r="R78" s="88" t="s">
        <v>757</v>
      </c>
      <c r="S78" s="88">
        <v>112.0</v>
      </c>
      <c r="T78" s="88">
        <v>672.0</v>
      </c>
      <c r="V78" s="88">
        <v>0.0</v>
      </c>
      <c r="W78" s="88" t="s">
        <v>758</v>
      </c>
      <c r="X78" s="88">
        <v>58.0</v>
      </c>
      <c r="Z78" s="88">
        <v>0.0</v>
      </c>
      <c r="AA78" s="88" t="s">
        <v>287</v>
      </c>
      <c r="AB78" s="88">
        <v>16.0</v>
      </c>
      <c r="AC78" s="88" t="s">
        <v>288</v>
      </c>
      <c r="AD78" s="88">
        <v>34.0</v>
      </c>
      <c r="AE78" s="88" t="s">
        <v>270</v>
      </c>
      <c r="AH78" s="87" t="s">
        <v>753</v>
      </c>
      <c r="AN78" s="88">
        <v>187614.0</v>
      </c>
      <c r="AO78" s="88">
        <v>33535.0</v>
      </c>
      <c r="AP78" s="88">
        <v>33535.0</v>
      </c>
      <c r="AQ78" s="88">
        <v>12.847</v>
      </c>
      <c r="AS78" s="88">
        <v>2188.0</v>
      </c>
      <c r="AT78" s="88">
        <v>365.0</v>
      </c>
      <c r="AU78" s="88">
        <v>5.995</v>
      </c>
      <c r="AV78" s="88">
        <v>44.271</v>
      </c>
      <c r="AW78" s="88" t="s">
        <v>280</v>
      </c>
      <c r="AX78" s="88">
        <v>9.599</v>
      </c>
      <c r="AY78" s="88">
        <v>3.0</v>
      </c>
      <c r="AZ78" s="88">
        <v>1.0</v>
      </c>
      <c r="BB78" s="88">
        <v>5.0</v>
      </c>
      <c r="BC78" s="88">
        <v>3.0</v>
      </c>
      <c r="BD78" s="88">
        <v>0.0</v>
      </c>
      <c r="BE78" s="88">
        <v>1.66</v>
      </c>
      <c r="BF78" s="88">
        <v>131.0</v>
      </c>
      <c r="BG78" s="88">
        <v>54.0</v>
      </c>
      <c r="BH78" s="88">
        <v>0.0</v>
      </c>
      <c r="BI78" s="88">
        <v>23.0</v>
      </c>
      <c r="BJ78" s="88">
        <v>16.0</v>
      </c>
      <c r="BK78" s="88">
        <v>0.0</v>
      </c>
      <c r="BP78" s="88" t="s">
        <v>759</v>
      </c>
      <c r="BQ78" s="88">
        <v>0.159</v>
      </c>
      <c r="BV78" s="88" t="s">
        <v>273</v>
      </c>
      <c r="BW78" s="88">
        <v>1.1</v>
      </c>
      <c r="CI78" s="87" t="s">
        <v>753</v>
      </c>
      <c r="CJ78" s="89">
        <v>46037.6590162037</v>
      </c>
    </row>
    <row r="79">
      <c r="A79" s="87" t="s">
        <v>760</v>
      </c>
      <c r="F79" s="88"/>
      <c r="G79" s="88" t="s">
        <v>261</v>
      </c>
      <c r="H79" s="88">
        <v>200.0</v>
      </c>
      <c r="I79" s="88" t="s">
        <v>262</v>
      </c>
      <c r="J79" s="88" t="s">
        <v>263</v>
      </c>
      <c r="L79" s="88" t="s">
        <v>761</v>
      </c>
      <c r="M79" s="88">
        <v>69.0</v>
      </c>
      <c r="N79" s="88">
        <v>642.0</v>
      </c>
      <c r="O79" s="88" t="s">
        <v>762</v>
      </c>
      <c r="P79" s="88">
        <v>149.0</v>
      </c>
      <c r="Q79" s="88">
        <v>921.0</v>
      </c>
      <c r="R79" s="88" t="s">
        <v>763</v>
      </c>
      <c r="S79" s="88">
        <v>101.0</v>
      </c>
      <c r="T79" s="88">
        <v>633.0</v>
      </c>
      <c r="V79" s="88">
        <v>0.0</v>
      </c>
      <c r="W79" s="88" t="s">
        <v>764</v>
      </c>
      <c r="X79" s="88">
        <v>69.0</v>
      </c>
      <c r="Z79" s="88">
        <v>0.0</v>
      </c>
      <c r="AA79" s="88" t="s">
        <v>287</v>
      </c>
      <c r="AB79" s="88">
        <v>16.0</v>
      </c>
      <c r="AC79" s="88" t="s">
        <v>288</v>
      </c>
      <c r="AD79" s="88">
        <v>34.0</v>
      </c>
      <c r="AE79" s="88" t="s">
        <v>270</v>
      </c>
      <c r="AH79" s="87" t="s">
        <v>760</v>
      </c>
      <c r="AN79" s="88">
        <v>194897.0</v>
      </c>
      <c r="AO79" s="88">
        <v>36670.0</v>
      </c>
      <c r="AP79" s="88">
        <v>36670.0</v>
      </c>
      <c r="AQ79" s="88">
        <v>14.048</v>
      </c>
      <c r="AS79" s="88">
        <v>3165.0</v>
      </c>
      <c r="AT79" s="88">
        <v>512.0</v>
      </c>
      <c r="AU79" s="88">
        <v>6.182</v>
      </c>
      <c r="AV79" s="88">
        <v>44.619</v>
      </c>
      <c r="AW79" s="88" t="s">
        <v>280</v>
      </c>
      <c r="AX79" s="88">
        <v>12.495</v>
      </c>
      <c r="AY79" s="88">
        <v>4.0</v>
      </c>
      <c r="AZ79" s="88">
        <v>1.0</v>
      </c>
      <c r="BB79" s="88">
        <v>4.0</v>
      </c>
      <c r="BC79" s="88">
        <v>2.0</v>
      </c>
      <c r="BD79" s="88">
        <v>0.0</v>
      </c>
      <c r="BE79" s="88">
        <v>1.1</v>
      </c>
      <c r="BF79" s="88">
        <v>141.0</v>
      </c>
      <c r="BG79" s="88">
        <v>64.0</v>
      </c>
      <c r="BH79" s="88">
        <v>0.0</v>
      </c>
      <c r="BI79" s="88">
        <v>18.0</v>
      </c>
      <c r="BJ79" s="88">
        <v>12.0</v>
      </c>
      <c r="BK79" s="88">
        <v>0.0</v>
      </c>
      <c r="BP79" s="88" t="s">
        <v>765</v>
      </c>
      <c r="BQ79" s="88">
        <v>0.138</v>
      </c>
      <c r="BV79" s="88" t="s">
        <v>273</v>
      </c>
      <c r="BW79" s="88">
        <v>1.1</v>
      </c>
      <c r="CI79" s="87" t="s">
        <v>760</v>
      </c>
      <c r="CJ79" s="89">
        <v>46037.659212962964</v>
      </c>
    </row>
    <row r="80">
      <c r="A80" s="87" t="s">
        <v>766</v>
      </c>
      <c r="F80" s="88"/>
      <c r="G80" s="88" t="s">
        <v>261</v>
      </c>
      <c r="H80" s="88">
        <v>200.0</v>
      </c>
      <c r="I80" s="88" t="s">
        <v>262</v>
      </c>
      <c r="J80" s="88" t="s">
        <v>263</v>
      </c>
      <c r="L80" s="88" t="s">
        <v>767</v>
      </c>
      <c r="M80" s="88">
        <v>68.0</v>
      </c>
      <c r="N80" s="88">
        <v>634.0</v>
      </c>
      <c r="O80" s="88" t="s">
        <v>768</v>
      </c>
      <c r="P80" s="88">
        <v>181.0</v>
      </c>
      <c r="Q80" s="88">
        <v>1142.0</v>
      </c>
      <c r="R80" s="88" t="s">
        <v>769</v>
      </c>
      <c r="S80" s="88">
        <v>101.0</v>
      </c>
      <c r="T80" s="88">
        <v>638.0</v>
      </c>
      <c r="V80" s="88">
        <v>0.0</v>
      </c>
      <c r="W80" s="88" t="s">
        <v>770</v>
      </c>
      <c r="X80" s="88">
        <v>59.0</v>
      </c>
      <c r="Z80" s="88">
        <v>0.0</v>
      </c>
      <c r="AA80" s="88" t="s">
        <v>287</v>
      </c>
      <c r="AB80" s="88">
        <v>16.0</v>
      </c>
      <c r="AC80" s="88" t="s">
        <v>288</v>
      </c>
      <c r="AD80" s="88">
        <v>34.0</v>
      </c>
      <c r="AE80" s="88" t="s">
        <v>270</v>
      </c>
      <c r="AH80" s="87" t="s">
        <v>766</v>
      </c>
      <c r="AN80" s="88">
        <v>190397.0</v>
      </c>
      <c r="AO80" s="88">
        <v>35447.0</v>
      </c>
      <c r="AP80" s="88">
        <v>35447.0</v>
      </c>
      <c r="AQ80" s="88">
        <v>13.579</v>
      </c>
      <c r="AS80" s="88">
        <v>2851.0</v>
      </c>
      <c r="AT80" s="88">
        <v>442.0</v>
      </c>
      <c r="AU80" s="88">
        <v>6.45</v>
      </c>
      <c r="AV80" s="88">
        <v>43.373</v>
      </c>
      <c r="AW80" s="88" t="s">
        <v>280</v>
      </c>
      <c r="AX80" s="88">
        <v>11.616</v>
      </c>
      <c r="AY80" s="88">
        <v>4.0</v>
      </c>
      <c r="AZ80" s="88">
        <v>1.0</v>
      </c>
      <c r="BB80" s="88">
        <v>4.0</v>
      </c>
      <c r="BC80" s="88">
        <v>2.0</v>
      </c>
      <c r="BD80" s="88">
        <v>0.0</v>
      </c>
      <c r="BE80" s="88">
        <v>1.1</v>
      </c>
      <c r="BF80" s="88">
        <v>129.0</v>
      </c>
      <c r="BG80" s="88">
        <v>52.0</v>
      </c>
      <c r="BH80" s="88">
        <v>0.0</v>
      </c>
      <c r="BI80" s="88">
        <v>13.0</v>
      </c>
      <c r="BJ80" s="88">
        <v>8.0</v>
      </c>
      <c r="BK80" s="88">
        <v>0.0</v>
      </c>
      <c r="BP80" s="88" t="s">
        <v>771</v>
      </c>
      <c r="BQ80" s="88">
        <v>0.097</v>
      </c>
      <c r="BV80" s="88" t="s">
        <v>273</v>
      </c>
      <c r="BW80" s="88">
        <v>1.1</v>
      </c>
      <c r="CI80" s="87" t="s">
        <v>766</v>
      </c>
      <c r="CJ80" s="89">
        <v>46037.659224537034</v>
      </c>
    </row>
    <row r="81">
      <c r="A81" s="87" t="s">
        <v>772</v>
      </c>
      <c r="D81" s="88">
        <v>1.0</v>
      </c>
      <c r="E81" s="88" t="s">
        <v>260</v>
      </c>
      <c r="F81" s="88"/>
      <c r="G81" s="88" t="s">
        <v>261</v>
      </c>
      <c r="H81" s="88">
        <v>200.0</v>
      </c>
      <c r="I81" s="88" t="s">
        <v>262</v>
      </c>
      <c r="J81" s="88" t="s">
        <v>263</v>
      </c>
      <c r="L81" s="88" t="s">
        <v>773</v>
      </c>
      <c r="M81" s="88">
        <v>68.0</v>
      </c>
      <c r="N81" s="88">
        <v>632.0</v>
      </c>
      <c r="O81" s="88" t="s">
        <v>774</v>
      </c>
      <c r="P81" s="88">
        <v>164.0</v>
      </c>
      <c r="Q81" s="88">
        <v>1021.0</v>
      </c>
      <c r="R81" s="88" t="s">
        <v>775</v>
      </c>
      <c r="S81" s="88">
        <v>118.0</v>
      </c>
      <c r="T81" s="88">
        <v>736.0</v>
      </c>
      <c r="V81" s="88">
        <v>0.0</v>
      </c>
      <c r="W81" s="88" t="s">
        <v>776</v>
      </c>
      <c r="X81" s="88">
        <v>60.0</v>
      </c>
      <c r="Z81" s="88">
        <v>0.0</v>
      </c>
      <c r="AA81" s="88" t="s">
        <v>287</v>
      </c>
      <c r="AB81" s="88">
        <v>16.0</v>
      </c>
      <c r="AC81" s="88" t="s">
        <v>288</v>
      </c>
      <c r="AD81" s="88">
        <v>34.0</v>
      </c>
      <c r="AE81" s="88" t="s">
        <v>270</v>
      </c>
      <c r="AH81" s="87" t="s">
        <v>772</v>
      </c>
      <c r="AN81" s="88">
        <v>188001.0</v>
      </c>
      <c r="AO81" s="88">
        <v>34510.0</v>
      </c>
      <c r="AP81" s="88">
        <v>34510.0</v>
      </c>
      <c r="AQ81" s="88">
        <v>13.22</v>
      </c>
      <c r="AS81" s="88">
        <v>2425.0</v>
      </c>
      <c r="AT81" s="88">
        <v>390.0</v>
      </c>
      <c r="AU81" s="88">
        <v>6.218</v>
      </c>
      <c r="AV81" s="88">
        <v>43.36</v>
      </c>
      <c r="AW81" s="88" t="s">
        <v>280</v>
      </c>
      <c r="AX81" s="88">
        <v>10.402</v>
      </c>
      <c r="AY81" s="88">
        <v>3.0</v>
      </c>
      <c r="AZ81" s="88">
        <v>1.0</v>
      </c>
      <c r="BB81" s="88">
        <v>4.0</v>
      </c>
      <c r="BC81" s="88">
        <v>2.0</v>
      </c>
      <c r="BD81" s="88">
        <v>0.0</v>
      </c>
      <c r="BE81" s="88">
        <v>1.1</v>
      </c>
      <c r="BF81" s="88">
        <v>130.0</v>
      </c>
      <c r="BG81" s="88">
        <v>53.0</v>
      </c>
      <c r="BH81" s="88">
        <v>0.0</v>
      </c>
      <c r="BI81" s="88">
        <v>18.0</v>
      </c>
      <c r="BJ81" s="88">
        <v>11.0</v>
      </c>
      <c r="BK81" s="88">
        <v>0.0</v>
      </c>
      <c r="BP81" s="88" t="s">
        <v>777</v>
      </c>
      <c r="BQ81" s="88">
        <v>0.109</v>
      </c>
      <c r="BV81" s="88" t="s">
        <v>273</v>
      </c>
      <c r="BW81" s="88">
        <v>1.1</v>
      </c>
      <c r="BX81" s="88">
        <v>1.0</v>
      </c>
      <c r="BY81" s="88">
        <v>0.0</v>
      </c>
      <c r="BZ81" s="88">
        <v>0.0</v>
      </c>
      <c r="CA81" s="88">
        <v>0.0</v>
      </c>
      <c r="CB81" s="88">
        <v>3.0</v>
      </c>
      <c r="CC81" s="88">
        <v>0.0</v>
      </c>
      <c r="CI81" s="87" t="s">
        <v>772</v>
      </c>
      <c r="CJ81" s="89">
        <v>46037.6590162037</v>
      </c>
    </row>
    <row r="82">
      <c r="A82" s="87" t="s">
        <v>778</v>
      </c>
      <c r="F82" s="88"/>
      <c r="G82" s="88" t="s">
        <v>261</v>
      </c>
      <c r="H82" s="88">
        <v>200.0</v>
      </c>
      <c r="I82" s="88" t="s">
        <v>262</v>
      </c>
      <c r="J82" s="88" t="s">
        <v>263</v>
      </c>
      <c r="L82" s="88" t="s">
        <v>779</v>
      </c>
      <c r="M82" s="88">
        <v>63.0</v>
      </c>
      <c r="N82" s="88">
        <v>563.0</v>
      </c>
      <c r="O82" s="88" t="s">
        <v>780</v>
      </c>
      <c r="P82" s="88">
        <v>165.0</v>
      </c>
      <c r="Q82" s="88">
        <v>1037.0</v>
      </c>
      <c r="R82" s="88" t="s">
        <v>781</v>
      </c>
      <c r="S82" s="88">
        <v>122.0</v>
      </c>
      <c r="T82" s="88">
        <v>744.0</v>
      </c>
      <c r="V82" s="88">
        <v>0.0</v>
      </c>
      <c r="W82" s="88" t="s">
        <v>782</v>
      </c>
      <c r="X82" s="88">
        <v>71.0</v>
      </c>
      <c r="Z82" s="88">
        <v>0.0</v>
      </c>
      <c r="AA82" s="88" t="s">
        <v>287</v>
      </c>
      <c r="AB82" s="88">
        <v>16.0</v>
      </c>
      <c r="AC82" s="88" t="s">
        <v>288</v>
      </c>
      <c r="AD82" s="88">
        <v>34.0</v>
      </c>
      <c r="AE82" s="88" t="s">
        <v>270</v>
      </c>
      <c r="AH82" s="87" t="s">
        <v>778</v>
      </c>
      <c r="AN82" s="88">
        <v>194583.0</v>
      </c>
      <c r="AO82" s="88">
        <v>36737.0</v>
      </c>
      <c r="AP82" s="88">
        <v>36737.0</v>
      </c>
      <c r="AQ82" s="88">
        <v>14.073</v>
      </c>
      <c r="AS82" s="88">
        <v>3335.0</v>
      </c>
      <c r="AT82" s="88">
        <v>479.0</v>
      </c>
      <c r="AU82" s="88">
        <v>6.962</v>
      </c>
      <c r="AV82" s="88">
        <v>41.806</v>
      </c>
      <c r="AW82" s="88" t="s">
        <v>280</v>
      </c>
      <c r="AX82" s="88">
        <v>13.225</v>
      </c>
      <c r="AY82" s="88">
        <v>4.0</v>
      </c>
      <c r="AZ82" s="88">
        <v>1.0</v>
      </c>
      <c r="BB82" s="88">
        <v>4.0</v>
      </c>
      <c r="BC82" s="88">
        <v>2.0</v>
      </c>
      <c r="BD82" s="88">
        <v>0.0</v>
      </c>
      <c r="BE82" s="88">
        <v>1.1</v>
      </c>
      <c r="BF82" s="88">
        <v>131.0</v>
      </c>
      <c r="BG82" s="88">
        <v>54.0</v>
      </c>
      <c r="BH82" s="88">
        <v>0.0</v>
      </c>
      <c r="BI82" s="88">
        <v>21.0</v>
      </c>
      <c r="BJ82" s="88">
        <v>14.0</v>
      </c>
      <c r="BK82" s="88">
        <v>0.0</v>
      </c>
      <c r="BP82" s="88" t="s">
        <v>783</v>
      </c>
      <c r="BQ82" s="88">
        <v>0.13</v>
      </c>
      <c r="BV82" s="88" t="s">
        <v>273</v>
      </c>
      <c r="BW82" s="88">
        <v>1.1</v>
      </c>
      <c r="CI82" s="87" t="s">
        <v>778</v>
      </c>
      <c r="CJ82" s="89">
        <v>46037.659224537034</v>
      </c>
    </row>
    <row r="83">
      <c r="A83" s="87" t="s">
        <v>784</v>
      </c>
      <c r="D83" s="88">
        <v>5.0</v>
      </c>
      <c r="E83" s="88" t="s">
        <v>449</v>
      </c>
      <c r="F83" s="88"/>
      <c r="G83" s="88" t="s">
        <v>261</v>
      </c>
      <c r="H83" s="88">
        <v>200.0</v>
      </c>
      <c r="I83" s="88" t="s">
        <v>262</v>
      </c>
      <c r="J83" s="88" t="s">
        <v>263</v>
      </c>
      <c r="L83" s="88" t="s">
        <v>785</v>
      </c>
      <c r="M83" s="88">
        <v>78.0</v>
      </c>
      <c r="N83" s="88">
        <v>702.0</v>
      </c>
      <c r="O83" s="88" t="s">
        <v>786</v>
      </c>
      <c r="P83" s="88">
        <v>188.0</v>
      </c>
      <c r="Q83" s="88">
        <v>1154.0</v>
      </c>
      <c r="R83" s="88" t="s">
        <v>786</v>
      </c>
      <c r="S83" s="88">
        <v>188.0</v>
      </c>
      <c r="T83" s="88">
        <v>1154.0</v>
      </c>
      <c r="V83" s="88">
        <v>0.0</v>
      </c>
      <c r="W83" s="88" t="s">
        <v>787</v>
      </c>
      <c r="X83" s="88">
        <v>41.0</v>
      </c>
      <c r="Z83" s="88">
        <v>0.0</v>
      </c>
      <c r="AA83" s="88" t="s">
        <v>288</v>
      </c>
      <c r="AB83" s="88">
        <v>34.0</v>
      </c>
      <c r="AC83" s="88" t="s">
        <v>788</v>
      </c>
      <c r="AD83" s="88">
        <v>28.0</v>
      </c>
      <c r="AE83" s="88" t="s">
        <v>270</v>
      </c>
      <c r="AH83" s="87" t="s">
        <v>784</v>
      </c>
      <c r="AN83" s="88">
        <v>239111.0</v>
      </c>
      <c r="AO83" s="88">
        <v>33633.0</v>
      </c>
      <c r="AP83" s="88">
        <v>33633.0</v>
      </c>
      <c r="AQ83" s="88">
        <v>12.884</v>
      </c>
      <c r="AS83" s="88">
        <v>1537.0</v>
      </c>
      <c r="AT83" s="88">
        <v>242.0</v>
      </c>
      <c r="AU83" s="88">
        <v>6.351</v>
      </c>
      <c r="AV83" s="88">
        <v>45.334</v>
      </c>
      <c r="AW83" s="88" t="s">
        <v>280</v>
      </c>
      <c r="AX83" s="88">
        <v>5.7</v>
      </c>
      <c r="AY83" s="88">
        <v>1.0</v>
      </c>
      <c r="AZ83" s="88">
        <v>1.0</v>
      </c>
      <c r="BB83" s="88">
        <v>363.0</v>
      </c>
      <c r="BC83" s="88">
        <v>180.0</v>
      </c>
      <c r="BD83" s="88">
        <v>0.0</v>
      </c>
      <c r="BE83" s="88">
        <v>99.45</v>
      </c>
      <c r="BF83" s="88">
        <v>108.0</v>
      </c>
      <c r="BG83" s="88">
        <v>41.0</v>
      </c>
      <c r="BH83" s="88">
        <v>0.0</v>
      </c>
      <c r="BI83" s="88">
        <v>12.0</v>
      </c>
      <c r="BJ83" s="88">
        <v>7.0</v>
      </c>
      <c r="BK83" s="88">
        <v>0.0</v>
      </c>
      <c r="BP83" s="88" t="s">
        <v>789</v>
      </c>
      <c r="BQ83" s="88">
        <v>0.151</v>
      </c>
      <c r="BV83" s="88" t="s">
        <v>273</v>
      </c>
      <c r="BW83" s="88">
        <v>1.1</v>
      </c>
      <c r="BX83" s="88">
        <v>8.0</v>
      </c>
      <c r="BY83" s="88">
        <v>1.0</v>
      </c>
      <c r="BZ83" s="88">
        <v>0.2</v>
      </c>
      <c r="CA83" s="88">
        <v>0.0</v>
      </c>
      <c r="CB83" s="88">
        <v>23.0</v>
      </c>
      <c r="CC83" s="88">
        <v>0.0</v>
      </c>
      <c r="CI83" s="87" t="s">
        <v>784</v>
      </c>
      <c r="CJ83" s="89">
        <v>46037.65891203703</v>
      </c>
    </row>
    <row r="84">
      <c r="A84" s="87" t="s">
        <v>790</v>
      </c>
      <c r="F84" s="88"/>
      <c r="G84" s="88" t="s">
        <v>261</v>
      </c>
      <c r="H84" s="88">
        <v>200.0</v>
      </c>
      <c r="I84" s="88" t="s">
        <v>262</v>
      </c>
      <c r="J84" s="88" t="s">
        <v>263</v>
      </c>
      <c r="L84" s="88" t="s">
        <v>791</v>
      </c>
      <c r="M84" s="88">
        <v>68.0</v>
      </c>
      <c r="N84" s="88">
        <v>625.0</v>
      </c>
      <c r="O84" s="88" t="s">
        <v>792</v>
      </c>
      <c r="P84" s="88">
        <v>169.0</v>
      </c>
      <c r="Q84" s="88">
        <v>1040.0</v>
      </c>
      <c r="R84" s="88" t="s">
        <v>793</v>
      </c>
      <c r="S84" s="88">
        <v>105.0</v>
      </c>
      <c r="T84" s="88">
        <v>646.0</v>
      </c>
      <c r="V84" s="88">
        <v>0.0</v>
      </c>
      <c r="W84" s="88" t="s">
        <v>794</v>
      </c>
      <c r="X84" s="88">
        <v>66.0</v>
      </c>
      <c r="Z84" s="88">
        <v>0.0</v>
      </c>
      <c r="AA84" s="88" t="s">
        <v>287</v>
      </c>
      <c r="AB84" s="88">
        <v>16.0</v>
      </c>
      <c r="AC84" s="88" t="s">
        <v>288</v>
      </c>
      <c r="AD84" s="88">
        <v>34.0</v>
      </c>
      <c r="AE84" s="88" t="s">
        <v>270</v>
      </c>
      <c r="AH84" s="87" t="s">
        <v>790</v>
      </c>
      <c r="AN84" s="88">
        <v>190765.0</v>
      </c>
      <c r="AO84" s="88">
        <v>35385.0</v>
      </c>
      <c r="AP84" s="88">
        <v>35385.0</v>
      </c>
      <c r="AQ84" s="88">
        <v>13.555</v>
      </c>
      <c r="AS84" s="88">
        <v>2848.0</v>
      </c>
      <c r="AT84" s="88">
        <v>434.0</v>
      </c>
      <c r="AU84" s="88">
        <v>6.562</v>
      </c>
      <c r="AV84" s="88">
        <v>49.362</v>
      </c>
      <c r="AW84" s="88" t="s">
        <v>280</v>
      </c>
      <c r="AX84" s="88">
        <v>11.465</v>
      </c>
      <c r="AY84" s="88">
        <v>3.0</v>
      </c>
      <c r="AZ84" s="88">
        <v>1.0</v>
      </c>
      <c r="BB84" s="88">
        <v>4.0</v>
      </c>
      <c r="BC84" s="88">
        <v>2.0</v>
      </c>
      <c r="BD84" s="88">
        <v>0.0</v>
      </c>
      <c r="BE84" s="88">
        <v>1.1</v>
      </c>
      <c r="BF84" s="88">
        <v>131.0</v>
      </c>
      <c r="BG84" s="88">
        <v>54.0</v>
      </c>
      <c r="BH84" s="88">
        <v>0.0</v>
      </c>
      <c r="BI84" s="88">
        <v>21.0</v>
      </c>
      <c r="BJ84" s="88">
        <v>12.0</v>
      </c>
      <c r="BK84" s="88">
        <v>0.0</v>
      </c>
      <c r="BP84" s="88" t="s">
        <v>795</v>
      </c>
      <c r="BQ84" s="88">
        <v>0.092</v>
      </c>
      <c r="BV84" s="88" t="s">
        <v>273</v>
      </c>
      <c r="BW84" s="88">
        <v>1.1</v>
      </c>
      <c r="CI84" s="87" t="s">
        <v>790</v>
      </c>
      <c r="CJ84" s="89">
        <v>46037.6590625</v>
      </c>
    </row>
    <row r="85">
      <c r="A85" s="87" t="s">
        <v>796</v>
      </c>
      <c r="F85" s="88"/>
      <c r="G85" s="88" t="s">
        <v>261</v>
      </c>
      <c r="H85" s="88">
        <v>200.0</v>
      </c>
      <c r="I85" s="88" t="s">
        <v>262</v>
      </c>
      <c r="J85" s="88" t="s">
        <v>263</v>
      </c>
      <c r="L85" s="88" t="s">
        <v>797</v>
      </c>
      <c r="M85" s="88">
        <v>73.0</v>
      </c>
      <c r="N85" s="88">
        <v>707.0</v>
      </c>
      <c r="O85" s="88" t="s">
        <v>798</v>
      </c>
      <c r="P85" s="88">
        <v>184.0</v>
      </c>
      <c r="Q85" s="88">
        <v>1138.0</v>
      </c>
      <c r="R85" s="88" t="s">
        <v>799</v>
      </c>
      <c r="S85" s="88">
        <v>96.0</v>
      </c>
      <c r="T85" s="88">
        <v>598.0</v>
      </c>
      <c r="V85" s="88">
        <v>0.0</v>
      </c>
      <c r="W85" s="88" t="s">
        <v>800</v>
      </c>
      <c r="X85" s="88">
        <v>68.0</v>
      </c>
      <c r="Z85" s="88">
        <v>0.0</v>
      </c>
      <c r="AA85" s="88" t="s">
        <v>287</v>
      </c>
      <c r="AB85" s="88">
        <v>16.0</v>
      </c>
      <c r="AC85" s="88" t="s">
        <v>288</v>
      </c>
      <c r="AD85" s="88">
        <v>34.0</v>
      </c>
      <c r="AE85" s="88" t="s">
        <v>270</v>
      </c>
      <c r="AH85" s="87" t="s">
        <v>796</v>
      </c>
      <c r="AN85" s="88">
        <v>188317.0</v>
      </c>
      <c r="AO85" s="88">
        <v>34555.0</v>
      </c>
      <c r="AP85" s="88">
        <v>34555.0</v>
      </c>
      <c r="AQ85" s="88">
        <v>13.237</v>
      </c>
      <c r="AS85" s="88">
        <v>2623.0</v>
      </c>
      <c r="AT85" s="88">
        <v>408.0</v>
      </c>
      <c r="AU85" s="88">
        <v>6.429</v>
      </c>
      <c r="AV85" s="88">
        <v>46.688</v>
      </c>
      <c r="AW85" s="88" t="s">
        <v>280</v>
      </c>
      <c r="AX85" s="88">
        <v>10.945</v>
      </c>
      <c r="AY85" s="88">
        <v>5.0</v>
      </c>
      <c r="AZ85" s="88">
        <v>1.0</v>
      </c>
      <c r="BB85" s="88">
        <v>4.0</v>
      </c>
      <c r="BC85" s="88">
        <v>2.0</v>
      </c>
      <c r="BD85" s="88">
        <v>0.0</v>
      </c>
      <c r="BE85" s="88">
        <v>1.1</v>
      </c>
      <c r="BF85" s="88">
        <v>130.0</v>
      </c>
      <c r="BG85" s="88">
        <v>53.0</v>
      </c>
      <c r="BH85" s="88">
        <v>0.0</v>
      </c>
      <c r="BI85" s="88">
        <v>12.0</v>
      </c>
      <c r="BJ85" s="88">
        <v>7.0</v>
      </c>
      <c r="BK85" s="88">
        <v>0.0</v>
      </c>
      <c r="BP85" s="88" t="s">
        <v>801</v>
      </c>
      <c r="BQ85" s="88">
        <v>0.169</v>
      </c>
      <c r="BV85" s="88" t="s">
        <v>273</v>
      </c>
      <c r="BW85" s="88">
        <v>1.1</v>
      </c>
      <c r="CI85" s="87" t="s">
        <v>796</v>
      </c>
      <c r="CJ85" s="89">
        <v>46037.65940972222</v>
      </c>
    </row>
    <row r="86">
      <c r="A86" s="87" t="s">
        <v>802</v>
      </c>
      <c r="D86" s="88">
        <v>48.0</v>
      </c>
      <c r="E86" s="88" t="s">
        <v>260</v>
      </c>
      <c r="F86" s="88"/>
      <c r="G86" s="88" t="s">
        <v>261</v>
      </c>
      <c r="H86" s="88">
        <v>200.0</v>
      </c>
      <c r="I86" s="88" t="s">
        <v>262</v>
      </c>
      <c r="J86" s="88" t="s">
        <v>263</v>
      </c>
      <c r="L86" s="88" t="s">
        <v>803</v>
      </c>
      <c r="M86" s="88">
        <v>40.0</v>
      </c>
      <c r="N86" s="88">
        <v>363.0</v>
      </c>
      <c r="O86" s="88" t="s">
        <v>804</v>
      </c>
      <c r="P86" s="88">
        <v>182.0</v>
      </c>
      <c r="Q86" s="88">
        <v>1107.0</v>
      </c>
      <c r="R86" s="88" t="s">
        <v>804</v>
      </c>
      <c r="S86" s="88">
        <v>182.0</v>
      </c>
      <c r="T86" s="88">
        <v>1107.0</v>
      </c>
      <c r="V86" s="88">
        <v>0.0</v>
      </c>
      <c r="W86" s="88" t="s">
        <v>805</v>
      </c>
      <c r="X86" s="88">
        <v>30.0</v>
      </c>
      <c r="Z86" s="88">
        <v>0.0</v>
      </c>
      <c r="AA86" s="88" t="s">
        <v>806</v>
      </c>
      <c r="AB86" s="88">
        <v>19.0</v>
      </c>
      <c r="AC86" s="88" t="s">
        <v>807</v>
      </c>
      <c r="AD86" s="88">
        <v>27.0</v>
      </c>
      <c r="AE86" s="88" t="s">
        <v>270</v>
      </c>
      <c r="AH86" s="87" t="s">
        <v>802</v>
      </c>
      <c r="AN86" s="88">
        <v>145421.0</v>
      </c>
      <c r="AO86" s="88">
        <v>25205.0</v>
      </c>
      <c r="AP86" s="88">
        <v>25205.0</v>
      </c>
      <c r="AQ86" s="88">
        <v>9.656</v>
      </c>
      <c r="AS86" s="88">
        <v>256.0</v>
      </c>
      <c r="AT86" s="88">
        <v>55.0</v>
      </c>
      <c r="AU86" s="88">
        <v>4.655</v>
      </c>
      <c r="AV86" s="88">
        <v>40.511</v>
      </c>
      <c r="AW86" s="88" t="s">
        <v>280</v>
      </c>
      <c r="AX86" s="88">
        <v>3.404</v>
      </c>
      <c r="AY86" s="88">
        <v>1.0</v>
      </c>
      <c r="AZ86" s="88">
        <v>1.0</v>
      </c>
      <c r="BB86" s="88">
        <v>362.0</v>
      </c>
      <c r="BC86" s="88">
        <v>180.0</v>
      </c>
      <c r="BD86" s="88">
        <v>0.0</v>
      </c>
      <c r="BE86" s="88">
        <v>99.45</v>
      </c>
      <c r="BF86" s="88">
        <v>92.0</v>
      </c>
      <c r="BG86" s="88">
        <v>41.0</v>
      </c>
      <c r="BH86" s="88">
        <v>0.0</v>
      </c>
      <c r="BI86" s="88">
        <v>2.0</v>
      </c>
      <c r="BJ86" s="88">
        <v>2.0</v>
      </c>
      <c r="BK86" s="88">
        <v>0.0</v>
      </c>
      <c r="BP86" s="88" t="s">
        <v>808</v>
      </c>
      <c r="BQ86" s="88">
        <v>0.167</v>
      </c>
      <c r="BV86" s="88" t="s">
        <v>273</v>
      </c>
      <c r="BW86" s="88">
        <v>1.1</v>
      </c>
      <c r="BX86" s="88">
        <v>75.0</v>
      </c>
      <c r="BY86" s="88">
        <v>33.0</v>
      </c>
      <c r="BZ86" s="88">
        <v>0.69</v>
      </c>
      <c r="CA86" s="88">
        <v>0.0</v>
      </c>
      <c r="CB86" s="88">
        <v>222.0</v>
      </c>
      <c r="CC86" s="88">
        <v>0.0</v>
      </c>
      <c r="CI86" s="87" t="s">
        <v>802</v>
      </c>
      <c r="CJ86" s="89">
        <v>46037.65892361111</v>
      </c>
    </row>
    <row r="87">
      <c r="A87" s="87" t="s">
        <v>809</v>
      </c>
      <c r="D87" s="88">
        <v>2.0</v>
      </c>
      <c r="E87" s="88" t="s">
        <v>345</v>
      </c>
      <c r="F87" s="90" t="s">
        <v>321</v>
      </c>
      <c r="G87" s="88" t="s">
        <v>261</v>
      </c>
      <c r="H87" s="88">
        <v>200.0</v>
      </c>
      <c r="I87" s="88" t="s">
        <v>262</v>
      </c>
      <c r="J87" s="88" t="s">
        <v>263</v>
      </c>
      <c r="L87" s="88" t="s">
        <v>810</v>
      </c>
      <c r="M87" s="88">
        <v>77.0</v>
      </c>
      <c r="N87" s="88">
        <v>717.0</v>
      </c>
      <c r="O87" s="88" t="s">
        <v>811</v>
      </c>
      <c r="P87" s="88">
        <v>143.0</v>
      </c>
      <c r="Q87" s="88">
        <v>855.0</v>
      </c>
      <c r="S87" s="88">
        <v>0.0</v>
      </c>
      <c r="T87" s="88">
        <v>0.0</v>
      </c>
      <c r="V87" s="88">
        <v>0.0</v>
      </c>
      <c r="W87" s="88" t="s">
        <v>810</v>
      </c>
      <c r="X87" s="88">
        <v>77.0</v>
      </c>
      <c r="Z87" s="88">
        <v>0.0</v>
      </c>
      <c r="AA87" s="88" t="s">
        <v>287</v>
      </c>
      <c r="AB87" s="88">
        <v>16.0</v>
      </c>
      <c r="AC87" s="88" t="s">
        <v>288</v>
      </c>
      <c r="AD87" s="88">
        <v>34.0</v>
      </c>
      <c r="AE87" s="88" t="s">
        <v>270</v>
      </c>
      <c r="AH87" s="87" t="s">
        <v>809</v>
      </c>
      <c r="AN87" s="88">
        <v>182792.0</v>
      </c>
      <c r="AO87" s="88">
        <v>32178.0</v>
      </c>
      <c r="AP87" s="88">
        <v>32178.0</v>
      </c>
      <c r="AQ87" s="88">
        <v>12.327</v>
      </c>
      <c r="AS87" s="88">
        <v>1612.0</v>
      </c>
      <c r="AT87" s="88">
        <v>251.0</v>
      </c>
      <c r="AU87" s="88">
        <v>6.422</v>
      </c>
      <c r="AV87" s="88">
        <v>40.72</v>
      </c>
      <c r="AW87" s="88" t="s">
        <v>280</v>
      </c>
      <c r="AX87" s="88">
        <v>7.798</v>
      </c>
      <c r="AY87" s="88">
        <v>2.0</v>
      </c>
      <c r="AZ87" s="88">
        <v>1.0</v>
      </c>
      <c r="BB87" s="88">
        <v>690.0</v>
      </c>
      <c r="BC87" s="88">
        <v>116.0</v>
      </c>
      <c r="BD87" s="88">
        <v>0.0</v>
      </c>
      <c r="BE87" s="88">
        <v>64.09</v>
      </c>
      <c r="BF87" s="88">
        <v>135.0</v>
      </c>
      <c r="BG87" s="88">
        <v>54.0</v>
      </c>
      <c r="BH87" s="88">
        <v>0.0</v>
      </c>
      <c r="BI87" s="88">
        <v>13.0</v>
      </c>
      <c r="BJ87" s="88">
        <v>8.0</v>
      </c>
      <c r="BK87" s="88">
        <v>0.0</v>
      </c>
      <c r="BP87" s="88" t="s">
        <v>812</v>
      </c>
      <c r="BQ87" s="88">
        <v>0.12</v>
      </c>
      <c r="BV87" s="88" t="s">
        <v>273</v>
      </c>
      <c r="BW87" s="88">
        <v>1.1</v>
      </c>
      <c r="BX87" s="88">
        <v>11.0</v>
      </c>
      <c r="BY87" s="88">
        <v>1.0</v>
      </c>
      <c r="BZ87" s="88">
        <v>0.5</v>
      </c>
      <c r="CA87" s="88">
        <v>0.0</v>
      </c>
      <c r="CB87" s="88">
        <v>27.0</v>
      </c>
      <c r="CC87" s="88">
        <v>0.0</v>
      </c>
      <c r="CI87" s="87" t="s">
        <v>809</v>
      </c>
      <c r="CJ87" s="89">
        <v>46037.65895833333</v>
      </c>
    </row>
    <row r="88">
      <c r="A88" s="87" t="s">
        <v>813</v>
      </c>
      <c r="F88" s="88"/>
      <c r="G88" s="88" t="s">
        <v>261</v>
      </c>
      <c r="H88" s="88">
        <v>200.0</v>
      </c>
      <c r="I88" s="88" t="s">
        <v>262</v>
      </c>
      <c r="J88" s="88" t="s">
        <v>263</v>
      </c>
      <c r="L88" s="88" t="s">
        <v>814</v>
      </c>
      <c r="M88" s="88">
        <v>64.0</v>
      </c>
      <c r="N88" s="88">
        <v>609.0</v>
      </c>
      <c r="O88" s="88" t="s">
        <v>815</v>
      </c>
      <c r="P88" s="88">
        <v>217.0</v>
      </c>
      <c r="Q88" s="88">
        <v>1358.0</v>
      </c>
      <c r="R88" s="88" t="s">
        <v>816</v>
      </c>
      <c r="S88" s="88">
        <v>114.0</v>
      </c>
      <c r="T88" s="88">
        <v>712.0</v>
      </c>
      <c r="V88" s="88">
        <v>0.0</v>
      </c>
      <c r="W88" s="88" t="s">
        <v>817</v>
      </c>
      <c r="X88" s="88">
        <v>63.0</v>
      </c>
      <c r="Z88" s="88">
        <v>0.0</v>
      </c>
      <c r="AA88" s="88" t="s">
        <v>287</v>
      </c>
      <c r="AB88" s="88">
        <v>16.0</v>
      </c>
      <c r="AC88" s="88" t="s">
        <v>288</v>
      </c>
      <c r="AD88" s="88">
        <v>34.0</v>
      </c>
      <c r="AE88" s="88" t="s">
        <v>270</v>
      </c>
      <c r="AH88" s="87" t="s">
        <v>813</v>
      </c>
      <c r="AN88" s="88">
        <v>186176.0</v>
      </c>
      <c r="AO88" s="88">
        <v>33684.0</v>
      </c>
      <c r="AP88" s="88">
        <v>33684.0</v>
      </c>
      <c r="AQ88" s="88">
        <v>12.904</v>
      </c>
      <c r="AS88" s="88">
        <v>2290.0</v>
      </c>
      <c r="AT88" s="88">
        <v>380.0</v>
      </c>
      <c r="AU88" s="88">
        <v>6.026</v>
      </c>
      <c r="AV88" s="88">
        <v>45.04</v>
      </c>
      <c r="AW88" s="88" t="s">
        <v>280</v>
      </c>
      <c r="AX88" s="88">
        <v>9.919</v>
      </c>
      <c r="AY88" s="88">
        <v>5.0</v>
      </c>
      <c r="AZ88" s="88">
        <v>1.0</v>
      </c>
      <c r="BB88" s="88">
        <v>4.0</v>
      </c>
      <c r="BC88" s="88">
        <v>2.0</v>
      </c>
      <c r="BD88" s="88">
        <v>0.0</v>
      </c>
      <c r="BE88" s="88">
        <v>1.1</v>
      </c>
      <c r="BF88" s="88">
        <v>131.0</v>
      </c>
      <c r="BG88" s="88">
        <v>54.0</v>
      </c>
      <c r="BH88" s="88">
        <v>0.0</v>
      </c>
      <c r="BI88" s="88">
        <v>13.0</v>
      </c>
      <c r="BJ88" s="88">
        <v>8.0</v>
      </c>
      <c r="BK88" s="88">
        <v>0.0</v>
      </c>
      <c r="BP88" s="88" t="s">
        <v>818</v>
      </c>
      <c r="BQ88" s="88">
        <v>0.182</v>
      </c>
      <c r="BV88" s="88" t="s">
        <v>273</v>
      </c>
      <c r="BW88" s="88">
        <v>1.1</v>
      </c>
      <c r="CI88" s="87" t="s">
        <v>813</v>
      </c>
      <c r="CJ88" s="89">
        <v>46037.65940972222</v>
      </c>
    </row>
    <row r="89">
      <c r="A89" s="87" t="s">
        <v>819</v>
      </c>
      <c r="D89" s="88">
        <v>2.0</v>
      </c>
      <c r="E89" s="88" t="s">
        <v>345</v>
      </c>
      <c r="F89" s="90" t="s">
        <v>321</v>
      </c>
      <c r="G89" s="88" t="s">
        <v>261</v>
      </c>
      <c r="H89" s="88">
        <v>200.0</v>
      </c>
      <c r="I89" s="88" t="s">
        <v>262</v>
      </c>
      <c r="J89" s="88" t="s">
        <v>263</v>
      </c>
      <c r="L89" s="88" t="s">
        <v>820</v>
      </c>
      <c r="M89" s="88">
        <v>59.0</v>
      </c>
      <c r="N89" s="88">
        <v>538.0</v>
      </c>
      <c r="O89" s="88" t="s">
        <v>821</v>
      </c>
      <c r="P89" s="88">
        <v>141.0</v>
      </c>
      <c r="Q89" s="88">
        <v>860.0</v>
      </c>
      <c r="S89" s="88">
        <v>0.0</v>
      </c>
      <c r="T89" s="88">
        <v>0.0</v>
      </c>
      <c r="V89" s="88">
        <v>0.0</v>
      </c>
      <c r="W89" s="88" t="s">
        <v>822</v>
      </c>
      <c r="X89" s="88">
        <v>65.0</v>
      </c>
      <c r="Z89" s="88">
        <v>0.0</v>
      </c>
      <c r="AA89" s="88" t="s">
        <v>287</v>
      </c>
      <c r="AB89" s="88">
        <v>16.0</v>
      </c>
      <c r="AC89" s="88" t="s">
        <v>288</v>
      </c>
      <c r="AD89" s="88">
        <v>34.0</v>
      </c>
      <c r="AE89" s="88" t="s">
        <v>270</v>
      </c>
      <c r="AH89" s="87" t="s">
        <v>819</v>
      </c>
      <c r="AN89" s="88">
        <v>181188.0</v>
      </c>
      <c r="AO89" s="88">
        <v>31868.0</v>
      </c>
      <c r="AP89" s="88">
        <v>31868.0</v>
      </c>
      <c r="AQ89" s="88">
        <v>12.208</v>
      </c>
      <c r="AS89" s="88">
        <v>1695.0</v>
      </c>
      <c r="AT89" s="88">
        <v>265.0</v>
      </c>
      <c r="AU89" s="88">
        <v>6.396</v>
      </c>
      <c r="AV89" s="88">
        <v>50.259</v>
      </c>
      <c r="AW89" s="88" t="s">
        <v>304</v>
      </c>
      <c r="AX89" s="88">
        <v>7.862</v>
      </c>
      <c r="AY89" s="88">
        <v>3.0</v>
      </c>
      <c r="AZ89" s="88">
        <v>1.0</v>
      </c>
      <c r="BB89" s="88">
        <v>6.0</v>
      </c>
      <c r="BC89" s="88">
        <v>3.0</v>
      </c>
      <c r="BD89" s="88">
        <v>0.0</v>
      </c>
      <c r="BE89" s="88">
        <v>1.66</v>
      </c>
      <c r="BF89" s="88">
        <v>131.0</v>
      </c>
      <c r="BG89" s="88">
        <v>49.0</v>
      </c>
      <c r="BH89" s="88">
        <v>0.0</v>
      </c>
      <c r="BI89" s="88">
        <v>12.0</v>
      </c>
      <c r="BJ89" s="88">
        <v>7.0</v>
      </c>
      <c r="BK89" s="88">
        <v>0.0</v>
      </c>
      <c r="BP89" s="88" t="s">
        <v>823</v>
      </c>
      <c r="BQ89" s="88">
        <v>0.097</v>
      </c>
      <c r="BV89" s="88" t="s">
        <v>273</v>
      </c>
      <c r="BW89" s="88">
        <v>1.1</v>
      </c>
      <c r="BX89" s="88">
        <v>2.0</v>
      </c>
      <c r="BY89" s="88">
        <v>1.0</v>
      </c>
      <c r="BZ89" s="88">
        <v>0.5</v>
      </c>
      <c r="CA89" s="88">
        <v>0.0</v>
      </c>
      <c r="CB89" s="88">
        <v>6.0</v>
      </c>
      <c r="CC89" s="88">
        <v>0.0</v>
      </c>
      <c r="CI89" s="87" t="s">
        <v>819</v>
      </c>
      <c r="CJ89" s="89">
        <v>46037.659004629626</v>
      </c>
    </row>
    <row r="90">
      <c r="A90" s="87" t="s">
        <v>824</v>
      </c>
      <c r="D90" s="88">
        <v>1.0</v>
      </c>
      <c r="E90" s="88" t="s">
        <v>825</v>
      </c>
      <c r="F90" s="90" t="s">
        <v>579</v>
      </c>
      <c r="G90" s="88" t="s">
        <v>261</v>
      </c>
      <c r="H90" s="88">
        <v>200.0</v>
      </c>
      <c r="I90" s="88" t="s">
        <v>262</v>
      </c>
      <c r="J90" s="88" t="s">
        <v>263</v>
      </c>
      <c r="L90" s="88" t="s">
        <v>826</v>
      </c>
      <c r="M90" s="88">
        <v>58.0</v>
      </c>
      <c r="N90" s="88">
        <v>560.0</v>
      </c>
      <c r="O90" s="88" t="s">
        <v>827</v>
      </c>
      <c r="P90" s="88">
        <v>147.0</v>
      </c>
      <c r="Q90" s="88">
        <v>898.0</v>
      </c>
      <c r="S90" s="88">
        <v>0.0</v>
      </c>
      <c r="T90" s="88">
        <v>0.0</v>
      </c>
      <c r="V90" s="88">
        <v>0.0</v>
      </c>
      <c r="W90" s="88" t="s">
        <v>826</v>
      </c>
      <c r="X90" s="88">
        <v>58.0</v>
      </c>
      <c r="Z90" s="88">
        <v>0.0</v>
      </c>
      <c r="AA90" s="88" t="s">
        <v>287</v>
      </c>
      <c r="AB90" s="88">
        <v>16.0</v>
      </c>
      <c r="AC90" s="88" t="s">
        <v>288</v>
      </c>
      <c r="AD90" s="88">
        <v>34.0</v>
      </c>
      <c r="AE90" s="88" t="s">
        <v>270</v>
      </c>
      <c r="AH90" s="87" t="s">
        <v>824</v>
      </c>
      <c r="AN90" s="88">
        <v>181162.0</v>
      </c>
      <c r="AO90" s="88">
        <v>32050.0</v>
      </c>
      <c r="AP90" s="88">
        <v>32050.0</v>
      </c>
      <c r="AQ90" s="88">
        <v>12.278</v>
      </c>
      <c r="AS90" s="88">
        <v>1603.0</v>
      </c>
      <c r="AT90" s="88">
        <v>246.0</v>
      </c>
      <c r="AU90" s="88">
        <v>6.516</v>
      </c>
      <c r="AV90" s="88">
        <v>47.962</v>
      </c>
      <c r="AW90" s="88" t="s">
        <v>280</v>
      </c>
      <c r="AX90" s="88">
        <v>7.621</v>
      </c>
      <c r="AY90" s="88">
        <v>2.0</v>
      </c>
      <c r="AZ90" s="88">
        <v>1.0</v>
      </c>
      <c r="BB90" s="88">
        <v>688.0</v>
      </c>
      <c r="BC90" s="88">
        <v>115.0</v>
      </c>
      <c r="BD90" s="88">
        <v>0.0</v>
      </c>
      <c r="BE90" s="88">
        <v>63.54</v>
      </c>
      <c r="BF90" s="88">
        <v>133.0</v>
      </c>
      <c r="BG90" s="88">
        <v>50.0</v>
      </c>
      <c r="BH90" s="88">
        <v>0.0</v>
      </c>
      <c r="BI90" s="88">
        <v>14.0</v>
      </c>
      <c r="BJ90" s="88">
        <v>9.0</v>
      </c>
      <c r="BK90" s="88">
        <v>0.0</v>
      </c>
      <c r="BP90" s="88" t="s">
        <v>828</v>
      </c>
      <c r="BQ90" s="88">
        <v>0.194</v>
      </c>
      <c r="BV90" s="88" t="s">
        <v>273</v>
      </c>
      <c r="BW90" s="88">
        <v>1.1</v>
      </c>
      <c r="BX90" s="88">
        <v>1.0</v>
      </c>
      <c r="BY90" s="88">
        <v>0.0</v>
      </c>
      <c r="BZ90" s="88">
        <v>0.0</v>
      </c>
      <c r="CA90" s="88">
        <v>0.0</v>
      </c>
      <c r="CB90" s="88">
        <v>3.0</v>
      </c>
      <c r="CC90" s="88">
        <v>0.0</v>
      </c>
      <c r="CI90" s="87" t="s">
        <v>824</v>
      </c>
      <c r="CJ90" s="89">
        <v>46037.65895833333</v>
      </c>
    </row>
    <row r="91">
      <c r="A91" s="87" t="s">
        <v>829</v>
      </c>
      <c r="D91" s="88">
        <v>6.0</v>
      </c>
      <c r="E91" s="88" t="s">
        <v>328</v>
      </c>
      <c r="F91" s="88"/>
      <c r="G91" s="88" t="s">
        <v>261</v>
      </c>
      <c r="H91" s="88">
        <v>200.0</v>
      </c>
      <c r="I91" s="88" t="s">
        <v>262</v>
      </c>
      <c r="J91" s="88" t="s">
        <v>263</v>
      </c>
      <c r="L91" s="88" t="s">
        <v>830</v>
      </c>
      <c r="M91" s="88">
        <v>57.0</v>
      </c>
      <c r="N91" s="88">
        <v>530.0</v>
      </c>
      <c r="O91" s="88" t="s">
        <v>831</v>
      </c>
      <c r="P91" s="88">
        <v>198.0</v>
      </c>
      <c r="Q91" s="88">
        <v>1228.0</v>
      </c>
      <c r="R91" s="88" t="s">
        <v>832</v>
      </c>
      <c r="S91" s="88">
        <v>169.0</v>
      </c>
      <c r="T91" s="88">
        <v>1062.0</v>
      </c>
      <c r="V91" s="88">
        <v>0.0</v>
      </c>
      <c r="W91" s="88" t="s">
        <v>833</v>
      </c>
      <c r="X91" s="88">
        <v>32.0</v>
      </c>
      <c r="Z91" s="88">
        <v>0.0</v>
      </c>
      <c r="AA91" s="88" t="s">
        <v>288</v>
      </c>
      <c r="AB91" s="88">
        <v>34.0</v>
      </c>
      <c r="AC91" s="88" t="s">
        <v>834</v>
      </c>
      <c r="AD91" s="88">
        <v>36.0</v>
      </c>
      <c r="AE91" s="88" t="s">
        <v>270</v>
      </c>
      <c r="AH91" s="87" t="s">
        <v>829</v>
      </c>
      <c r="AN91" s="88">
        <v>241308.0</v>
      </c>
      <c r="AO91" s="88">
        <v>33625.0</v>
      </c>
      <c r="AP91" s="88">
        <v>33625.0</v>
      </c>
      <c r="AQ91" s="88">
        <v>12.881</v>
      </c>
      <c r="AS91" s="88">
        <v>1569.0</v>
      </c>
      <c r="AT91" s="88">
        <v>247.0</v>
      </c>
      <c r="AU91" s="88">
        <v>6.352</v>
      </c>
      <c r="AV91" s="88">
        <v>48.442</v>
      </c>
      <c r="AW91" s="88" t="s">
        <v>280</v>
      </c>
      <c r="AX91" s="88">
        <v>5.606</v>
      </c>
      <c r="AY91" s="88">
        <v>1.0</v>
      </c>
      <c r="AZ91" s="88">
        <v>1.0</v>
      </c>
      <c r="BB91" s="88">
        <v>592.0</v>
      </c>
      <c r="BC91" s="88">
        <v>180.0</v>
      </c>
      <c r="BD91" s="88">
        <v>0.0</v>
      </c>
      <c r="BE91" s="88">
        <v>99.45</v>
      </c>
      <c r="BF91" s="88">
        <v>108.0</v>
      </c>
      <c r="BG91" s="88">
        <v>41.0</v>
      </c>
      <c r="BH91" s="88">
        <v>0.0</v>
      </c>
      <c r="BI91" s="88">
        <v>12.0</v>
      </c>
      <c r="BJ91" s="88">
        <v>7.0</v>
      </c>
      <c r="BK91" s="88">
        <v>0.0</v>
      </c>
      <c r="BP91" s="88" t="s">
        <v>835</v>
      </c>
      <c r="BQ91" s="88">
        <v>0.111</v>
      </c>
      <c r="BV91" s="88" t="s">
        <v>273</v>
      </c>
      <c r="BW91" s="88">
        <v>1.1</v>
      </c>
      <c r="BX91" s="88">
        <v>12.0</v>
      </c>
      <c r="BY91" s="88">
        <v>2.0</v>
      </c>
      <c r="BZ91" s="88">
        <v>0.33</v>
      </c>
      <c r="CA91" s="88">
        <v>0.0</v>
      </c>
      <c r="CB91" s="88">
        <v>31.0</v>
      </c>
      <c r="CC91" s="88">
        <v>0.0</v>
      </c>
      <c r="CI91" s="87" t="s">
        <v>829</v>
      </c>
      <c r="CJ91" s="89">
        <v>46037.65891203703</v>
      </c>
    </row>
    <row r="92">
      <c r="A92" s="87" t="s">
        <v>836</v>
      </c>
      <c r="D92" s="88">
        <v>2.0</v>
      </c>
      <c r="E92" s="88" t="s">
        <v>464</v>
      </c>
      <c r="F92" s="88"/>
      <c r="G92" s="88" t="s">
        <v>261</v>
      </c>
      <c r="H92" s="88">
        <v>200.0</v>
      </c>
      <c r="I92" s="88" t="s">
        <v>262</v>
      </c>
      <c r="J92" s="88" t="s">
        <v>263</v>
      </c>
      <c r="L92" s="88" t="s">
        <v>837</v>
      </c>
      <c r="M92" s="88">
        <v>77.0</v>
      </c>
      <c r="N92" s="88">
        <v>679.0</v>
      </c>
      <c r="O92" s="88" t="s">
        <v>838</v>
      </c>
      <c r="P92" s="88">
        <v>168.0</v>
      </c>
      <c r="Q92" s="88">
        <v>1046.0</v>
      </c>
      <c r="R92" s="88" t="s">
        <v>839</v>
      </c>
      <c r="S92" s="88">
        <v>168.0</v>
      </c>
      <c r="T92" s="88">
        <v>1046.0</v>
      </c>
      <c r="V92" s="88">
        <v>0.0</v>
      </c>
      <c r="W92" s="88" t="s">
        <v>840</v>
      </c>
      <c r="X92" s="88">
        <v>42.0</v>
      </c>
      <c r="Z92" s="88">
        <v>0.0</v>
      </c>
      <c r="AA92" s="88" t="s">
        <v>288</v>
      </c>
      <c r="AB92" s="88">
        <v>34.0</v>
      </c>
      <c r="AC92" s="88" t="s">
        <v>841</v>
      </c>
      <c r="AD92" s="88">
        <v>49.0</v>
      </c>
      <c r="AE92" s="88" t="s">
        <v>270</v>
      </c>
      <c r="AH92" s="87" t="s">
        <v>836</v>
      </c>
      <c r="AN92" s="88">
        <v>239706.0</v>
      </c>
      <c r="AO92" s="88">
        <v>33774.0</v>
      </c>
      <c r="AP92" s="88">
        <v>33774.0</v>
      </c>
      <c r="AQ92" s="88">
        <v>12.938</v>
      </c>
      <c r="AS92" s="88">
        <v>1590.0</v>
      </c>
      <c r="AT92" s="88">
        <v>258.0</v>
      </c>
      <c r="AU92" s="88">
        <v>6.163</v>
      </c>
      <c r="AV92" s="88">
        <v>44.894</v>
      </c>
      <c r="AW92" s="88" t="s">
        <v>280</v>
      </c>
      <c r="AX92" s="88">
        <v>5.789</v>
      </c>
      <c r="AY92" s="88">
        <v>1.0</v>
      </c>
      <c r="AZ92" s="88">
        <v>1.0</v>
      </c>
      <c r="BB92" s="88">
        <v>362.0</v>
      </c>
      <c r="BC92" s="88">
        <v>180.0</v>
      </c>
      <c r="BD92" s="88">
        <v>0.0</v>
      </c>
      <c r="BE92" s="88">
        <v>99.45</v>
      </c>
      <c r="BF92" s="88">
        <v>108.0</v>
      </c>
      <c r="BG92" s="88">
        <v>41.0</v>
      </c>
      <c r="BH92" s="88">
        <v>0.0</v>
      </c>
      <c r="BI92" s="88">
        <v>12.0</v>
      </c>
      <c r="BJ92" s="88">
        <v>7.0</v>
      </c>
      <c r="BK92" s="88">
        <v>0.0</v>
      </c>
      <c r="BP92" s="88" t="s">
        <v>842</v>
      </c>
      <c r="BQ92" s="88">
        <v>0.161</v>
      </c>
      <c r="BV92" s="88" t="s">
        <v>273</v>
      </c>
      <c r="BW92" s="88">
        <v>1.1</v>
      </c>
      <c r="BX92" s="88">
        <v>2.0</v>
      </c>
      <c r="BY92" s="88">
        <v>0.0</v>
      </c>
      <c r="BZ92" s="88">
        <v>0.0</v>
      </c>
      <c r="CA92" s="88">
        <v>0.0</v>
      </c>
      <c r="CB92" s="88">
        <v>6.0</v>
      </c>
      <c r="CC92" s="88">
        <v>0.0</v>
      </c>
      <c r="CI92" s="87" t="s">
        <v>836</v>
      </c>
      <c r="CJ92" s="89">
        <v>46037.65887731482</v>
      </c>
    </row>
    <row r="93">
      <c r="A93" s="87" t="s">
        <v>843</v>
      </c>
      <c r="D93" s="88">
        <v>9.0</v>
      </c>
      <c r="F93" s="88"/>
      <c r="G93" s="88" t="s">
        <v>261</v>
      </c>
      <c r="H93" s="88">
        <v>200.0</v>
      </c>
      <c r="I93" s="88" t="s">
        <v>262</v>
      </c>
      <c r="J93" s="88" t="s">
        <v>263</v>
      </c>
      <c r="L93" s="88" t="s">
        <v>844</v>
      </c>
      <c r="M93" s="88">
        <v>52.0</v>
      </c>
      <c r="N93" s="88">
        <v>480.0</v>
      </c>
      <c r="O93" s="88" t="s">
        <v>845</v>
      </c>
      <c r="P93" s="88">
        <v>210.0</v>
      </c>
      <c r="Q93" s="88">
        <v>1293.0</v>
      </c>
      <c r="R93" s="88" t="s">
        <v>846</v>
      </c>
      <c r="S93" s="88">
        <v>189.0</v>
      </c>
      <c r="T93" s="88">
        <v>1151.0</v>
      </c>
      <c r="V93" s="88">
        <v>0.0</v>
      </c>
      <c r="W93" s="88" t="s">
        <v>847</v>
      </c>
      <c r="X93" s="88">
        <v>35.0</v>
      </c>
      <c r="Z93" s="88">
        <v>0.0</v>
      </c>
      <c r="AA93" s="88" t="s">
        <v>848</v>
      </c>
      <c r="AB93" s="88">
        <v>55.0</v>
      </c>
      <c r="AC93" s="88" t="s">
        <v>849</v>
      </c>
      <c r="AD93" s="88">
        <v>13.0</v>
      </c>
      <c r="AE93" s="88" t="s">
        <v>270</v>
      </c>
      <c r="AH93" s="87" t="s">
        <v>843</v>
      </c>
      <c r="AN93" s="88">
        <v>157665.0</v>
      </c>
      <c r="AO93" s="88">
        <v>26441.0</v>
      </c>
      <c r="AP93" s="88">
        <v>26441.0</v>
      </c>
      <c r="AQ93" s="88">
        <v>10.129</v>
      </c>
      <c r="AS93" s="88">
        <v>504.0</v>
      </c>
      <c r="AT93" s="88">
        <v>88.0</v>
      </c>
      <c r="AU93" s="88">
        <v>5.727</v>
      </c>
      <c r="AV93" s="88">
        <v>35.85</v>
      </c>
      <c r="AW93" s="88" t="s">
        <v>280</v>
      </c>
      <c r="AX93" s="88">
        <v>4.309</v>
      </c>
      <c r="AY93" s="88">
        <v>1.0</v>
      </c>
      <c r="AZ93" s="88">
        <v>1.0</v>
      </c>
      <c r="BB93" s="88">
        <v>544.0</v>
      </c>
      <c r="BC93" s="88">
        <v>180.0</v>
      </c>
      <c r="BD93" s="88">
        <v>0.0</v>
      </c>
      <c r="BE93" s="88">
        <v>99.45</v>
      </c>
      <c r="BF93" s="88">
        <v>97.0</v>
      </c>
      <c r="BG93" s="88">
        <v>41.0</v>
      </c>
      <c r="BH93" s="88">
        <v>0.0</v>
      </c>
      <c r="BI93" s="88">
        <v>2.0</v>
      </c>
      <c r="BJ93" s="88">
        <v>2.0</v>
      </c>
      <c r="BK93" s="88">
        <v>0.0</v>
      </c>
      <c r="BP93" s="88" t="s">
        <v>850</v>
      </c>
      <c r="BQ93" s="88">
        <v>0.138</v>
      </c>
      <c r="BV93" s="88" t="s">
        <v>273</v>
      </c>
      <c r="BW93" s="88">
        <v>1.1</v>
      </c>
      <c r="BX93" s="88">
        <v>10.0</v>
      </c>
      <c r="BY93" s="88">
        <v>1.0</v>
      </c>
      <c r="BZ93" s="88">
        <v>0.11</v>
      </c>
      <c r="CA93" s="88">
        <v>0.0</v>
      </c>
      <c r="CB93" s="88">
        <v>25.0</v>
      </c>
      <c r="CC93" s="88">
        <v>0.0</v>
      </c>
      <c r="CI93" s="87" t="s">
        <v>843</v>
      </c>
      <c r="CJ93" s="89">
        <v>46037.65891203703</v>
      </c>
    </row>
    <row r="94">
      <c r="A94" s="87" t="s">
        <v>851</v>
      </c>
      <c r="F94" s="88"/>
      <c r="G94" s="88" t="s">
        <v>261</v>
      </c>
      <c r="H94" s="88">
        <v>200.0</v>
      </c>
      <c r="I94" s="88" t="s">
        <v>262</v>
      </c>
      <c r="J94" s="88" t="s">
        <v>263</v>
      </c>
      <c r="L94" s="88" t="s">
        <v>852</v>
      </c>
      <c r="M94" s="88">
        <v>83.0</v>
      </c>
      <c r="N94" s="88">
        <v>786.0</v>
      </c>
      <c r="O94" s="88" t="s">
        <v>853</v>
      </c>
      <c r="P94" s="88">
        <v>175.0</v>
      </c>
      <c r="Q94" s="88">
        <v>1091.0</v>
      </c>
      <c r="R94" s="88" t="s">
        <v>854</v>
      </c>
      <c r="S94" s="88">
        <v>116.0</v>
      </c>
      <c r="T94" s="88">
        <v>720.0</v>
      </c>
      <c r="V94" s="88">
        <v>0.0</v>
      </c>
      <c r="W94" s="88" t="s">
        <v>855</v>
      </c>
      <c r="X94" s="88">
        <v>58.0</v>
      </c>
      <c r="Z94" s="88">
        <v>0.0</v>
      </c>
      <c r="AA94" s="88" t="s">
        <v>287</v>
      </c>
      <c r="AB94" s="88">
        <v>16.0</v>
      </c>
      <c r="AC94" s="88" t="s">
        <v>288</v>
      </c>
      <c r="AD94" s="88">
        <v>34.0</v>
      </c>
      <c r="AE94" s="88" t="s">
        <v>270</v>
      </c>
      <c r="AH94" s="87" t="s">
        <v>851</v>
      </c>
      <c r="AN94" s="88">
        <v>187508.0</v>
      </c>
      <c r="AO94" s="88">
        <v>34281.0</v>
      </c>
      <c r="AP94" s="88">
        <v>34281.0</v>
      </c>
      <c r="AQ94" s="88">
        <v>13.132</v>
      </c>
      <c r="AS94" s="88">
        <v>2461.0</v>
      </c>
      <c r="AT94" s="88">
        <v>380.0</v>
      </c>
      <c r="AU94" s="88">
        <v>6.476</v>
      </c>
      <c r="AV94" s="88">
        <v>50.931</v>
      </c>
      <c r="AW94" s="88" t="s">
        <v>304</v>
      </c>
      <c r="AX94" s="88">
        <v>10.321</v>
      </c>
      <c r="AY94" s="88">
        <v>5.0</v>
      </c>
      <c r="AZ94" s="88">
        <v>1.0</v>
      </c>
      <c r="BB94" s="88">
        <v>4.0</v>
      </c>
      <c r="BC94" s="88">
        <v>2.0</v>
      </c>
      <c r="BD94" s="88">
        <v>0.0</v>
      </c>
      <c r="BE94" s="88">
        <v>1.1</v>
      </c>
      <c r="BF94" s="88">
        <v>131.0</v>
      </c>
      <c r="BG94" s="88">
        <v>54.0</v>
      </c>
      <c r="BH94" s="88">
        <v>0.0</v>
      </c>
      <c r="BI94" s="88">
        <v>18.0</v>
      </c>
      <c r="BJ94" s="88">
        <v>9.0</v>
      </c>
      <c r="BK94" s="88">
        <v>0.0</v>
      </c>
      <c r="BP94" s="88" t="s">
        <v>856</v>
      </c>
      <c r="BQ94" s="88">
        <v>0.195</v>
      </c>
      <c r="BV94" s="88" t="s">
        <v>273</v>
      </c>
      <c r="BW94" s="88">
        <v>1.1</v>
      </c>
      <c r="CI94" s="87" t="s">
        <v>851</v>
      </c>
      <c r="CJ94" s="89">
        <v>46037.65940972222</v>
      </c>
    </row>
    <row r="95">
      <c r="A95" s="87" t="s">
        <v>857</v>
      </c>
      <c r="F95" s="88"/>
      <c r="G95" s="88" t="s">
        <v>261</v>
      </c>
      <c r="H95" s="88">
        <v>200.0</v>
      </c>
      <c r="I95" s="88" t="s">
        <v>262</v>
      </c>
      <c r="J95" s="88" t="s">
        <v>263</v>
      </c>
      <c r="L95" s="88" t="s">
        <v>858</v>
      </c>
      <c r="M95" s="88">
        <v>71.0</v>
      </c>
      <c r="N95" s="88">
        <v>648.0</v>
      </c>
      <c r="O95" s="88" t="s">
        <v>859</v>
      </c>
      <c r="P95" s="88">
        <v>159.0</v>
      </c>
      <c r="Q95" s="88">
        <v>964.0</v>
      </c>
      <c r="R95" s="88" t="s">
        <v>860</v>
      </c>
      <c r="S95" s="88">
        <v>129.0</v>
      </c>
      <c r="T95" s="88">
        <v>792.0</v>
      </c>
      <c r="V95" s="88">
        <v>0.0</v>
      </c>
      <c r="W95" s="88" t="s">
        <v>861</v>
      </c>
      <c r="X95" s="88">
        <v>59.0</v>
      </c>
      <c r="Z95" s="88">
        <v>0.0</v>
      </c>
      <c r="AA95" s="88" t="s">
        <v>287</v>
      </c>
      <c r="AB95" s="88">
        <v>16.0</v>
      </c>
      <c r="AC95" s="88" t="s">
        <v>288</v>
      </c>
      <c r="AD95" s="88">
        <v>34.0</v>
      </c>
      <c r="AE95" s="88" t="s">
        <v>270</v>
      </c>
      <c r="AH95" s="87" t="s">
        <v>857</v>
      </c>
      <c r="AN95" s="88">
        <v>185931.0</v>
      </c>
      <c r="AO95" s="88">
        <v>33676.0</v>
      </c>
      <c r="AP95" s="88">
        <v>33676.0</v>
      </c>
      <c r="AQ95" s="88">
        <v>12.901</v>
      </c>
      <c r="AS95" s="88">
        <v>2089.0</v>
      </c>
      <c r="AT95" s="88">
        <v>351.0</v>
      </c>
      <c r="AU95" s="88">
        <v>5.952</v>
      </c>
      <c r="AV95" s="88">
        <v>37.871</v>
      </c>
      <c r="AW95" s="88" t="s">
        <v>280</v>
      </c>
      <c r="AX95" s="88">
        <v>9.463</v>
      </c>
      <c r="AY95" s="88">
        <v>5.0</v>
      </c>
      <c r="AZ95" s="88">
        <v>1.0</v>
      </c>
      <c r="BB95" s="88">
        <v>4.0</v>
      </c>
      <c r="BC95" s="88">
        <v>2.0</v>
      </c>
      <c r="BD95" s="88">
        <v>0.0</v>
      </c>
      <c r="BE95" s="88">
        <v>1.1</v>
      </c>
      <c r="BF95" s="88">
        <v>130.0</v>
      </c>
      <c r="BG95" s="88">
        <v>53.0</v>
      </c>
      <c r="BH95" s="88">
        <v>0.0</v>
      </c>
      <c r="BI95" s="88">
        <v>19.0</v>
      </c>
      <c r="BJ95" s="88">
        <v>11.0</v>
      </c>
      <c r="BK95" s="88">
        <v>0.0</v>
      </c>
      <c r="BP95" s="88" t="s">
        <v>862</v>
      </c>
      <c r="BQ95" s="88">
        <v>0.136</v>
      </c>
      <c r="BV95" s="88" t="s">
        <v>273</v>
      </c>
      <c r="BW95" s="88">
        <v>1.1</v>
      </c>
      <c r="CI95" s="87" t="s">
        <v>857</v>
      </c>
      <c r="CJ95" s="89">
        <v>46037.65940972222</v>
      </c>
    </row>
    <row r="96">
      <c r="A96" s="87" t="s">
        <v>863</v>
      </c>
      <c r="D96" s="88">
        <v>1.0</v>
      </c>
      <c r="E96" s="88" t="s">
        <v>345</v>
      </c>
      <c r="F96" s="87" t="s">
        <v>339</v>
      </c>
      <c r="G96" s="88" t="s">
        <v>261</v>
      </c>
      <c r="H96" s="88">
        <v>200.0</v>
      </c>
      <c r="I96" s="88" t="s">
        <v>262</v>
      </c>
      <c r="J96" s="88" t="s">
        <v>263</v>
      </c>
      <c r="L96" s="88" t="s">
        <v>864</v>
      </c>
      <c r="M96" s="88">
        <v>81.0</v>
      </c>
      <c r="N96" s="88">
        <v>734.0</v>
      </c>
      <c r="O96" s="88" t="s">
        <v>865</v>
      </c>
      <c r="P96" s="88">
        <v>144.0</v>
      </c>
      <c r="Q96" s="88">
        <v>882.0</v>
      </c>
      <c r="S96" s="88">
        <v>0.0</v>
      </c>
      <c r="T96" s="88">
        <v>0.0</v>
      </c>
      <c r="V96" s="88">
        <v>0.0</v>
      </c>
      <c r="W96" s="88" t="s">
        <v>866</v>
      </c>
      <c r="X96" s="88">
        <v>49.0</v>
      </c>
      <c r="Z96" s="88">
        <v>0.0</v>
      </c>
      <c r="AA96" s="88" t="s">
        <v>287</v>
      </c>
      <c r="AB96" s="88">
        <v>16.0</v>
      </c>
      <c r="AC96" s="88" t="s">
        <v>288</v>
      </c>
      <c r="AD96" s="88">
        <v>34.0</v>
      </c>
      <c r="AE96" s="88" t="s">
        <v>270</v>
      </c>
      <c r="AH96" s="87" t="s">
        <v>863</v>
      </c>
      <c r="AN96" s="88">
        <v>183260.0</v>
      </c>
      <c r="AO96" s="88">
        <v>32678.0</v>
      </c>
      <c r="AP96" s="88">
        <v>32678.0</v>
      </c>
      <c r="AQ96" s="88">
        <v>12.518</v>
      </c>
      <c r="AS96" s="88">
        <v>1877.0</v>
      </c>
      <c r="AT96" s="88">
        <v>314.0</v>
      </c>
      <c r="AU96" s="88">
        <v>5.978</v>
      </c>
      <c r="AV96" s="88">
        <v>50.318</v>
      </c>
      <c r="AW96" s="88" t="s">
        <v>304</v>
      </c>
      <c r="AX96" s="88">
        <v>8.334</v>
      </c>
      <c r="AY96" s="88">
        <v>3.0</v>
      </c>
      <c r="AZ96" s="88">
        <v>1.0</v>
      </c>
      <c r="BB96" s="88">
        <v>6.0</v>
      </c>
      <c r="BC96" s="88">
        <v>3.0</v>
      </c>
      <c r="BD96" s="88">
        <v>0.0</v>
      </c>
      <c r="BE96" s="88">
        <v>1.66</v>
      </c>
      <c r="BF96" s="88">
        <v>129.0</v>
      </c>
      <c r="BG96" s="88">
        <v>49.0</v>
      </c>
      <c r="BH96" s="88">
        <v>0.0</v>
      </c>
      <c r="BI96" s="88">
        <v>12.0</v>
      </c>
      <c r="BJ96" s="88">
        <v>7.0</v>
      </c>
      <c r="BK96" s="88">
        <v>0.0</v>
      </c>
      <c r="BP96" s="88" t="s">
        <v>867</v>
      </c>
      <c r="BQ96" s="88">
        <v>0.117</v>
      </c>
      <c r="BV96" s="88" t="s">
        <v>273</v>
      </c>
      <c r="BW96" s="88">
        <v>1.1</v>
      </c>
      <c r="BX96" s="88">
        <v>1.0</v>
      </c>
      <c r="BY96" s="88">
        <v>0.0</v>
      </c>
      <c r="BZ96" s="88">
        <v>0.0</v>
      </c>
      <c r="CA96" s="88">
        <v>0.0</v>
      </c>
      <c r="CB96" s="88">
        <v>3.0</v>
      </c>
      <c r="CC96" s="88">
        <v>0.0</v>
      </c>
      <c r="CI96" s="87" t="s">
        <v>863</v>
      </c>
      <c r="CJ96" s="89">
        <v>46037.659004629626</v>
      </c>
    </row>
    <row r="97">
      <c r="A97" s="87" t="s">
        <v>868</v>
      </c>
      <c r="D97" s="88">
        <v>3.0</v>
      </c>
      <c r="E97" s="88" t="s">
        <v>328</v>
      </c>
      <c r="F97" s="88"/>
      <c r="G97" s="88" t="s">
        <v>261</v>
      </c>
      <c r="H97" s="88">
        <v>200.0</v>
      </c>
      <c r="I97" s="88" t="s">
        <v>262</v>
      </c>
      <c r="J97" s="88" t="s">
        <v>263</v>
      </c>
      <c r="L97" s="88" t="s">
        <v>869</v>
      </c>
      <c r="M97" s="88">
        <v>58.0</v>
      </c>
      <c r="N97" s="88">
        <v>533.0</v>
      </c>
      <c r="O97" s="88" t="s">
        <v>870</v>
      </c>
      <c r="P97" s="88">
        <v>199.0</v>
      </c>
      <c r="Q97" s="88">
        <v>1207.0</v>
      </c>
      <c r="R97" s="88" t="s">
        <v>871</v>
      </c>
      <c r="S97" s="88">
        <v>173.0</v>
      </c>
      <c r="T97" s="88">
        <v>1048.0</v>
      </c>
      <c r="V97" s="88">
        <v>0.0</v>
      </c>
      <c r="W97" s="88" t="s">
        <v>872</v>
      </c>
      <c r="X97" s="88">
        <v>26.0</v>
      </c>
      <c r="Z97" s="88">
        <v>0.0</v>
      </c>
      <c r="AA97" s="88" t="s">
        <v>288</v>
      </c>
      <c r="AB97" s="88">
        <v>34.0</v>
      </c>
      <c r="AC97" s="88" t="s">
        <v>873</v>
      </c>
      <c r="AD97" s="88">
        <v>33.0</v>
      </c>
      <c r="AE97" s="88" t="s">
        <v>270</v>
      </c>
      <c r="AH97" s="87" t="s">
        <v>868</v>
      </c>
      <c r="AN97" s="88">
        <v>239204.0</v>
      </c>
      <c r="AO97" s="88">
        <v>33469.0</v>
      </c>
      <c r="AP97" s="88">
        <v>33469.0</v>
      </c>
      <c r="AQ97" s="88">
        <v>12.821</v>
      </c>
      <c r="AS97" s="88">
        <v>1455.0</v>
      </c>
      <c r="AT97" s="88">
        <v>232.0</v>
      </c>
      <c r="AU97" s="88">
        <v>6.272</v>
      </c>
      <c r="AV97" s="88">
        <v>51.097</v>
      </c>
      <c r="AW97" s="88" t="s">
        <v>304</v>
      </c>
      <c r="AX97" s="88">
        <v>5.349</v>
      </c>
      <c r="AY97" s="88">
        <v>1.0</v>
      </c>
      <c r="AZ97" s="88">
        <v>1.0</v>
      </c>
      <c r="BB97" s="88">
        <v>593.0</v>
      </c>
      <c r="BC97" s="88">
        <v>180.0</v>
      </c>
      <c r="BD97" s="88">
        <v>0.0</v>
      </c>
      <c r="BE97" s="88">
        <v>99.45</v>
      </c>
      <c r="BF97" s="88">
        <v>108.0</v>
      </c>
      <c r="BG97" s="88">
        <v>41.0</v>
      </c>
      <c r="BH97" s="88">
        <v>0.0</v>
      </c>
      <c r="BI97" s="88">
        <v>12.0</v>
      </c>
      <c r="BJ97" s="88">
        <v>7.0</v>
      </c>
      <c r="BK97" s="88">
        <v>0.0</v>
      </c>
      <c r="BP97" s="88" t="s">
        <v>874</v>
      </c>
      <c r="BQ97" s="88">
        <v>0.113</v>
      </c>
      <c r="BV97" s="88" t="s">
        <v>273</v>
      </c>
      <c r="BW97" s="88">
        <v>1.1</v>
      </c>
      <c r="BX97" s="88">
        <v>4.0</v>
      </c>
      <c r="BY97" s="88">
        <v>1.0</v>
      </c>
      <c r="BZ97" s="88">
        <v>0.33</v>
      </c>
      <c r="CA97" s="88">
        <v>0.0</v>
      </c>
      <c r="CB97" s="88">
        <v>12.0</v>
      </c>
      <c r="CC97" s="88">
        <v>0.0</v>
      </c>
      <c r="CI97" s="87" t="s">
        <v>868</v>
      </c>
      <c r="CJ97" s="89">
        <v>46037.65891203703</v>
      </c>
    </row>
    <row r="98">
      <c r="A98" s="87" t="s">
        <v>875</v>
      </c>
      <c r="F98" s="88"/>
      <c r="G98" s="88" t="s">
        <v>261</v>
      </c>
      <c r="H98" s="88">
        <v>200.0</v>
      </c>
      <c r="I98" s="88" t="s">
        <v>262</v>
      </c>
      <c r="J98" s="88" t="s">
        <v>263</v>
      </c>
      <c r="L98" s="88" t="s">
        <v>876</v>
      </c>
      <c r="M98" s="88">
        <v>73.0</v>
      </c>
      <c r="N98" s="88">
        <v>690.0</v>
      </c>
      <c r="O98" s="88" t="s">
        <v>877</v>
      </c>
      <c r="P98" s="88">
        <v>182.0</v>
      </c>
      <c r="Q98" s="88">
        <v>1161.0</v>
      </c>
      <c r="R98" s="88" t="s">
        <v>878</v>
      </c>
      <c r="S98" s="88">
        <v>118.0</v>
      </c>
      <c r="T98" s="88">
        <v>740.0</v>
      </c>
      <c r="V98" s="88">
        <v>0.0</v>
      </c>
      <c r="W98" s="88" t="s">
        <v>879</v>
      </c>
      <c r="X98" s="88">
        <v>59.0</v>
      </c>
      <c r="Z98" s="88">
        <v>0.0</v>
      </c>
      <c r="AA98" s="88" t="s">
        <v>287</v>
      </c>
      <c r="AB98" s="88">
        <v>16.0</v>
      </c>
      <c r="AC98" s="88" t="s">
        <v>288</v>
      </c>
      <c r="AD98" s="88">
        <v>34.0</v>
      </c>
      <c r="AE98" s="88" t="s">
        <v>270</v>
      </c>
      <c r="AH98" s="87" t="s">
        <v>875</v>
      </c>
      <c r="AN98" s="88">
        <v>187209.0</v>
      </c>
      <c r="AO98" s="88">
        <v>34250.0</v>
      </c>
      <c r="AP98" s="88">
        <v>34250.0</v>
      </c>
      <c r="AQ98" s="88">
        <v>13.121</v>
      </c>
      <c r="AS98" s="88">
        <v>2372.0</v>
      </c>
      <c r="AT98" s="88">
        <v>377.0</v>
      </c>
      <c r="AU98" s="88">
        <v>6.292</v>
      </c>
      <c r="AV98" s="88">
        <v>44.766</v>
      </c>
      <c r="AW98" s="88" t="s">
        <v>280</v>
      </c>
      <c r="AX98" s="88">
        <v>10.261</v>
      </c>
      <c r="AY98" s="88">
        <v>4.0</v>
      </c>
      <c r="AZ98" s="88">
        <v>1.0</v>
      </c>
      <c r="BB98" s="88">
        <v>4.0</v>
      </c>
      <c r="BC98" s="88">
        <v>2.0</v>
      </c>
      <c r="BD98" s="88">
        <v>0.0</v>
      </c>
      <c r="BE98" s="88">
        <v>1.1</v>
      </c>
      <c r="BF98" s="88">
        <v>129.0</v>
      </c>
      <c r="BG98" s="88">
        <v>52.0</v>
      </c>
      <c r="BH98" s="88">
        <v>0.0</v>
      </c>
      <c r="BI98" s="88">
        <v>20.0</v>
      </c>
      <c r="BJ98" s="88">
        <v>11.0</v>
      </c>
      <c r="BK98" s="88">
        <v>0.0</v>
      </c>
      <c r="BP98" s="88" t="s">
        <v>880</v>
      </c>
      <c r="BQ98" s="88">
        <v>0.146</v>
      </c>
      <c r="BV98" s="88" t="s">
        <v>273</v>
      </c>
      <c r="BW98" s="88">
        <v>1.1</v>
      </c>
      <c r="CI98" s="87" t="s">
        <v>875</v>
      </c>
      <c r="CJ98" s="89">
        <v>46037.659212962964</v>
      </c>
    </row>
    <row r="99">
      <c r="A99" s="87" t="s">
        <v>881</v>
      </c>
      <c r="B99" s="88" t="s">
        <v>336</v>
      </c>
      <c r="C99" s="88" t="s">
        <v>337</v>
      </c>
      <c r="E99" s="88" t="s">
        <v>345</v>
      </c>
      <c r="F99" s="87" t="s">
        <v>339</v>
      </c>
      <c r="G99" s="88" t="s">
        <v>261</v>
      </c>
      <c r="H99" s="88">
        <v>200.0</v>
      </c>
      <c r="I99" s="88" t="s">
        <v>262</v>
      </c>
      <c r="J99" s="88" t="s">
        <v>263</v>
      </c>
      <c r="L99" s="88" t="s">
        <v>882</v>
      </c>
      <c r="M99" s="88">
        <v>65.0</v>
      </c>
      <c r="N99" s="88">
        <v>599.0</v>
      </c>
      <c r="O99" s="88" t="s">
        <v>883</v>
      </c>
      <c r="P99" s="88">
        <v>147.0</v>
      </c>
      <c r="Q99" s="88">
        <v>889.0</v>
      </c>
      <c r="R99" s="88" t="s">
        <v>884</v>
      </c>
      <c r="S99" s="88">
        <v>124.0</v>
      </c>
      <c r="T99" s="88">
        <v>763.0</v>
      </c>
      <c r="V99" s="88">
        <v>0.0</v>
      </c>
      <c r="W99" s="88" t="s">
        <v>885</v>
      </c>
      <c r="X99" s="88">
        <v>56.0</v>
      </c>
      <c r="Z99" s="88">
        <v>0.0</v>
      </c>
      <c r="AA99" s="88" t="s">
        <v>287</v>
      </c>
      <c r="AB99" s="88">
        <v>16.0</v>
      </c>
      <c r="AC99" s="88" t="s">
        <v>288</v>
      </c>
      <c r="AD99" s="88">
        <v>34.0</v>
      </c>
      <c r="AE99" s="88" t="s">
        <v>270</v>
      </c>
      <c r="AH99" s="87" t="s">
        <v>881</v>
      </c>
      <c r="AN99" s="88">
        <v>191330.0</v>
      </c>
      <c r="AO99" s="88">
        <v>34551.0</v>
      </c>
      <c r="AP99" s="88">
        <v>34551.0</v>
      </c>
      <c r="AQ99" s="88">
        <v>13.236</v>
      </c>
      <c r="AS99" s="88">
        <v>2507.0</v>
      </c>
      <c r="AT99" s="88">
        <v>377.0</v>
      </c>
      <c r="AU99" s="88">
        <v>6.65</v>
      </c>
      <c r="AV99" s="88">
        <v>37.466</v>
      </c>
      <c r="AW99" s="88" t="s">
        <v>280</v>
      </c>
      <c r="AX99" s="88">
        <v>10.827</v>
      </c>
      <c r="AY99" s="88">
        <v>6.0</v>
      </c>
      <c r="AZ99" s="88">
        <v>1.0</v>
      </c>
      <c r="BB99" s="88">
        <v>4.0</v>
      </c>
      <c r="BC99" s="88">
        <v>2.0</v>
      </c>
      <c r="BD99" s="88">
        <v>0.0</v>
      </c>
      <c r="BE99" s="88">
        <v>1.1</v>
      </c>
      <c r="BF99" s="88">
        <v>134.0</v>
      </c>
      <c r="BG99" s="88">
        <v>57.0</v>
      </c>
      <c r="BH99" s="88">
        <v>0.0</v>
      </c>
      <c r="BI99" s="88">
        <v>24.0</v>
      </c>
      <c r="BJ99" s="88">
        <v>14.0</v>
      </c>
      <c r="BK99" s="88">
        <v>0.0</v>
      </c>
      <c r="BP99" s="88" t="s">
        <v>886</v>
      </c>
      <c r="BQ99" s="88">
        <v>0.137</v>
      </c>
      <c r="BV99" s="88" t="s">
        <v>273</v>
      </c>
      <c r="BW99" s="88">
        <v>1.1</v>
      </c>
      <c r="CI99" s="87" t="s">
        <v>881</v>
      </c>
      <c r="CJ99" s="89">
        <v>46037.659583333334</v>
      </c>
    </row>
    <row r="100">
      <c r="A100" s="87" t="s">
        <v>887</v>
      </c>
      <c r="B100" s="88" t="s">
        <v>336</v>
      </c>
      <c r="C100" s="88" t="s">
        <v>337</v>
      </c>
      <c r="E100" s="88" t="s">
        <v>345</v>
      </c>
      <c r="F100" s="87" t="s">
        <v>339</v>
      </c>
      <c r="G100" s="88" t="s">
        <v>261</v>
      </c>
      <c r="H100" s="88">
        <v>200.0</v>
      </c>
      <c r="I100" s="88" t="s">
        <v>262</v>
      </c>
      <c r="J100" s="88" t="s">
        <v>263</v>
      </c>
      <c r="L100" s="88" t="s">
        <v>888</v>
      </c>
      <c r="M100" s="88">
        <v>59.0</v>
      </c>
      <c r="N100" s="88">
        <v>560.0</v>
      </c>
      <c r="O100" s="88" t="s">
        <v>889</v>
      </c>
      <c r="P100" s="88">
        <v>158.0</v>
      </c>
      <c r="Q100" s="88">
        <v>954.0</v>
      </c>
      <c r="R100" s="88" t="s">
        <v>890</v>
      </c>
      <c r="S100" s="88">
        <v>89.0</v>
      </c>
      <c r="T100" s="88">
        <v>551.0</v>
      </c>
      <c r="V100" s="88">
        <v>0.0</v>
      </c>
      <c r="W100" s="88" t="s">
        <v>888</v>
      </c>
      <c r="X100" s="88">
        <v>59.0</v>
      </c>
      <c r="Z100" s="88">
        <v>0.0</v>
      </c>
      <c r="AA100" s="88" t="s">
        <v>287</v>
      </c>
      <c r="AB100" s="88">
        <v>16.0</v>
      </c>
      <c r="AC100" s="88" t="s">
        <v>288</v>
      </c>
      <c r="AD100" s="88">
        <v>34.0</v>
      </c>
      <c r="AE100" s="88" t="s">
        <v>270</v>
      </c>
      <c r="AH100" s="87" t="s">
        <v>887</v>
      </c>
      <c r="AN100" s="88">
        <v>186592.0</v>
      </c>
      <c r="AO100" s="88">
        <v>33498.0</v>
      </c>
      <c r="AP100" s="88">
        <v>33498.0</v>
      </c>
      <c r="AQ100" s="88">
        <v>12.832</v>
      </c>
      <c r="AS100" s="88">
        <v>2159.0</v>
      </c>
      <c r="AT100" s="88">
        <v>335.0</v>
      </c>
      <c r="AU100" s="88">
        <v>6.445</v>
      </c>
      <c r="AV100" s="88">
        <v>40.694</v>
      </c>
      <c r="AW100" s="88" t="s">
        <v>280</v>
      </c>
      <c r="AX100" s="88">
        <v>9.589</v>
      </c>
      <c r="AY100" s="88">
        <v>4.0</v>
      </c>
      <c r="AZ100" s="88">
        <v>1.0</v>
      </c>
      <c r="BB100" s="88">
        <v>4.0</v>
      </c>
      <c r="BC100" s="88">
        <v>2.0</v>
      </c>
      <c r="BD100" s="88">
        <v>0.0</v>
      </c>
      <c r="BE100" s="88">
        <v>1.1</v>
      </c>
      <c r="BF100" s="88">
        <v>131.0</v>
      </c>
      <c r="BG100" s="88">
        <v>54.0</v>
      </c>
      <c r="BH100" s="88">
        <v>0.0</v>
      </c>
      <c r="BI100" s="88">
        <v>22.0</v>
      </c>
      <c r="BJ100" s="88">
        <v>14.0</v>
      </c>
      <c r="BK100" s="88">
        <v>0.0</v>
      </c>
      <c r="BP100" s="88" t="s">
        <v>891</v>
      </c>
      <c r="BQ100" s="88">
        <v>0.096</v>
      </c>
      <c r="BV100" s="88" t="s">
        <v>273</v>
      </c>
      <c r="BW100" s="88">
        <v>1.1</v>
      </c>
      <c r="CI100" s="87" t="s">
        <v>887</v>
      </c>
      <c r="CJ100" s="89">
        <v>46037.659212962964</v>
      </c>
    </row>
    <row r="101">
      <c r="A101" s="87" t="s">
        <v>892</v>
      </c>
      <c r="B101" s="88" t="s">
        <v>336</v>
      </c>
      <c r="C101" s="88" t="s">
        <v>337</v>
      </c>
      <c r="E101" s="88" t="s">
        <v>345</v>
      </c>
      <c r="F101" s="90" t="s">
        <v>339</v>
      </c>
      <c r="G101" s="88" t="s">
        <v>261</v>
      </c>
      <c r="H101" s="88">
        <v>200.0</v>
      </c>
      <c r="I101" s="88" t="s">
        <v>262</v>
      </c>
      <c r="J101" s="88" t="s">
        <v>263</v>
      </c>
      <c r="L101" s="88" t="s">
        <v>893</v>
      </c>
      <c r="M101" s="88">
        <v>64.0</v>
      </c>
      <c r="N101" s="88">
        <v>591.0</v>
      </c>
      <c r="O101" s="88" t="s">
        <v>894</v>
      </c>
      <c r="P101" s="88">
        <v>166.0</v>
      </c>
      <c r="Q101" s="88">
        <v>1014.0</v>
      </c>
      <c r="R101" s="88" t="s">
        <v>895</v>
      </c>
      <c r="S101" s="88">
        <v>123.0</v>
      </c>
      <c r="T101" s="88">
        <v>763.0</v>
      </c>
      <c r="V101" s="88">
        <v>0.0</v>
      </c>
      <c r="W101" s="88" t="s">
        <v>896</v>
      </c>
      <c r="X101" s="88">
        <v>53.0</v>
      </c>
      <c r="Z101" s="88">
        <v>0.0</v>
      </c>
      <c r="AA101" s="88" t="s">
        <v>287</v>
      </c>
      <c r="AB101" s="88">
        <v>16.0</v>
      </c>
      <c r="AC101" s="88" t="s">
        <v>288</v>
      </c>
      <c r="AD101" s="88">
        <v>34.0</v>
      </c>
      <c r="AE101" s="88" t="s">
        <v>270</v>
      </c>
      <c r="AH101" s="87" t="s">
        <v>892</v>
      </c>
      <c r="AN101" s="88">
        <v>190142.0</v>
      </c>
      <c r="AO101" s="88">
        <v>34273.0</v>
      </c>
      <c r="AP101" s="88">
        <v>34273.0</v>
      </c>
      <c r="AQ101" s="88">
        <v>13.129</v>
      </c>
      <c r="AS101" s="88">
        <v>2485.0</v>
      </c>
      <c r="AT101" s="88">
        <v>383.0</v>
      </c>
      <c r="AU101" s="88">
        <v>6.488</v>
      </c>
      <c r="AV101" s="88">
        <v>46.267</v>
      </c>
      <c r="AW101" s="88" t="s">
        <v>280</v>
      </c>
      <c r="AX101" s="88">
        <v>10.519</v>
      </c>
      <c r="AY101" s="88">
        <v>5.0</v>
      </c>
      <c r="AZ101" s="88">
        <v>1.0</v>
      </c>
      <c r="BB101" s="88">
        <v>4.0</v>
      </c>
      <c r="BC101" s="88">
        <v>2.0</v>
      </c>
      <c r="BD101" s="88">
        <v>0.0</v>
      </c>
      <c r="BE101" s="88">
        <v>1.1</v>
      </c>
      <c r="BF101" s="88">
        <v>130.0</v>
      </c>
      <c r="BG101" s="88">
        <v>53.0</v>
      </c>
      <c r="BH101" s="88">
        <v>0.0</v>
      </c>
      <c r="BI101" s="88">
        <v>22.0</v>
      </c>
      <c r="BJ101" s="88">
        <v>13.0</v>
      </c>
      <c r="BK101" s="88">
        <v>0.0</v>
      </c>
      <c r="BP101" s="88" t="s">
        <v>897</v>
      </c>
      <c r="BQ101" s="88">
        <v>0.095</v>
      </c>
      <c r="BV101" s="88" t="s">
        <v>273</v>
      </c>
      <c r="BW101" s="88">
        <v>1.1</v>
      </c>
      <c r="CI101" s="87" t="s">
        <v>892</v>
      </c>
      <c r="CJ101" s="89">
        <v>46037.65949074074</v>
      </c>
    </row>
    <row r="102">
      <c r="A102" s="87" t="s">
        <v>898</v>
      </c>
      <c r="B102" s="88" t="s">
        <v>336</v>
      </c>
      <c r="C102" s="88" t="s">
        <v>337</v>
      </c>
      <c r="E102" s="88" t="s">
        <v>345</v>
      </c>
      <c r="F102" s="87" t="s">
        <v>339</v>
      </c>
      <c r="G102" s="88" t="s">
        <v>261</v>
      </c>
      <c r="H102" s="88">
        <v>200.0</v>
      </c>
      <c r="I102" s="88" t="s">
        <v>262</v>
      </c>
      <c r="J102" s="88" t="s">
        <v>263</v>
      </c>
      <c r="L102" s="88" t="s">
        <v>899</v>
      </c>
      <c r="M102" s="88">
        <v>72.0</v>
      </c>
      <c r="N102" s="88">
        <v>667.0</v>
      </c>
      <c r="O102" s="88" t="s">
        <v>900</v>
      </c>
      <c r="P102" s="88">
        <v>159.0</v>
      </c>
      <c r="Q102" s="88">
        <v>962.0</v>
      </c>
      <c r="R102" s="88" t="s">
        <v>901</v>
      </c>
      <c r="S102" s="88">
        <v>127.0</v>
      </c>
      <c r="T102" s="88">
        <v>784.0</v>
      </c>
      <c r="V102" s="88">
        <v>0.0</v>
      </c>
      <c r="W102" s="88" t="s">
        <v>902</v>
      </c>
      <c r="X102" s="88">
        <v>58.0</v>
      </c>
      <c r="Z102" s="88">
        <v>0.0</v>
      </c>
      <c r="AA102" s="88" t="s">
        <v>287</v>
      </c>
      <c r="AB102" s="88">
        <v>16.0</v>
      </c>
      <c r="AC102" s="88" t="s">
        <v>288</v>
      </c>
      <c r="AD102" s="88">
        <v>34.0</v>
      </c>
      <c r="AE102" s="88" t="s">
        <v>270</v>
      </c>
      <c r="AH102" s="87" t="s">
        <v>898</v>
      </c>
      <c r="AN102" s="88">
        <v>189736.0</v>
      </c>
      <c r="AO102" s="88">
        <v>34187.0</v>
      </c>
      <c r="AP102" s="88">
        <v>34187.0</v>
      </c>
      <c r="AQ102" s="88">
        <v>13.096</v>
      </c>
      <c r="AS102" s="88">
        <v>2414.0</v>
      </c>
      <c r="AT102" s="88">
        <v>365.0</v>
      </c>
      <c r="AU102" s="88">
        <v>6.614</v>
      </c>
      <c r="AV102" s="88">
        <v>41.155</v>
      </c>
      <c r="AW102" s="88" t="s">
        <v>280</v>
      </c>
      <c r="AX102" s="88">
        <v>10.437</v>
      </c>
      <c r="AY102" s="88">
        <v>5.0</v>
      </c>
      <c r="AZ102" s="88">
        <v>1.0</v>
      </c>
      <c r="BB102" s="88">
        <v>4.0</v>
      </c>
      <c r="BC102" s="88">
        <v>2.0</v>
      </c>
      <c r="BD102" s="88">
        <v>0.0</v>
      </c>
      <c r="BE102" s="88">
        <v>1.1</v>
      </c>
      <c r="BF102" s="88">
        <v>131.0</v>
      </c>
      <c r="BG102" s="88">
        <v>54.0</v>
      </c>
      <c r="BH102" s="88">
        <v>0.0</v>
      </c>
      <c r="BI102" s="88">
        <v>23.0</v>
      </c>
      <c r="BJ102" s="88">
        <v>11.0</v>
      </c>
      <c r="BK102" s="88">
        <v>0.0</v>
      </c>
      <c r="BP102" s="88" t="s">
        <v>903</v>
      </c>
      <c r="BQ102" s="88">
        <v>0.086</v>
      </c>
      <c r="BV102" s="88" t="s">
        <v>273</v>
      </c>
      <c r="BW102" s="88">
        <v>1.1</v>
      </c>
      <c r="CI102" s="87" t="s">
        <v>898</v>
      </c>
      <c r="CJ102" s="89">
        <v>46037.65951388889</v>
      </c>
    </row>
    <row r="103">
      <c r="A103" s="87" t="s">
        <v>904</v>
      </c>
      <c r="B103" s="88" t="s">
        <v>336</v>
      </c>
      <c r="C103" s="88" t="s">
        <v>337</v>
      </c>
      <c r="E103" s="88" t="s">
        <v>345</v>
      </c>
      <c r="F103" s="90" t="s">
        <v>321</v>
      </c>
      <c r="G103" s="88" t="s">
        <v>261</v>
      </c>
      <c r="H103" s="88">
        <v>200.0</v>
      </c>
      <c r="I103" s="88" t="s">
        <v>262</v>
      </c>
      <c r="J103" s="88" t="s">
        <v>263</v>
      </c>
      <c r="L103" s="88" t="s">
        <v>905</v>
      </c>
      <c r="M103" s="88">
        <v>66.0</v>
      </c>
      <c r="N103" s="88">
        <v>598.0</v>
      </c>
      <c r="O103" s="88" t="s">
        <v>906</v>
      </c>
      <c r="P103" s="88">
        <v>155.0</v>
      </c>
      <c r="Q103" s="88">
        <v>946.0</v>
      </c>
      <c r="R103" s="88" t="s">
        <v>907</v>
      </c>
      <c r="S103" s="88">
        <v>125.0</v>
      </c>
      <c r="T103" s="88">
        <v>731.0</v>
      </c>
      <c r="V103" s="88">
        <v>0.0</v>
      </c>
      <c r="W103" s="88" t="s">
        <v>908</v>
      </c>
      <c r="X103" s="88">
        <v>53.0</v>
      </c>
      <c r="Z103" s="88">
        <v>0.0</v>
      </c>
      <c r="AA103" s="88" t="s">
        <v>287</v>
      </c>
      <c r="AB103" s="88">
        <v>16.0</v>
      </c>
      <c r="AC103" s="88" t="s">
        <v>288</v>
      </c>
      <c r="AD103" s="88">
        <v>34.0</v>
      </c>
      <c r="AE103" s="88" t="s">
        <v>270</v>
      </c>
      <c r="AH103" s="87" t="s">
        <v>904</v>
      </c>
      <c r="AN103" s="88">
        <v>190034.0</v>
      </c>
      <c r="AO103" s="88">
        <v>34731.0</v>
      </c>
      <c r="AP103" s="88">
        <v>34731.0</v>
      </c>
      <c r="AQ103" s="88">
        <v>13.305</v>
      </c>
      <c r="AS103" s="88">
        <v>2511.0</v>
      </c>
      <c r="AT103" s="88">
        <v>397.0</v>
      </c>
      <c r="AU103" s="88">
        <v>6.325</v>
      </c>
      <c r="AV103" s="88">
        <v>36.943</v>
      </c>
      <c r="AW103" s="88" t="s">
        <v>280</v>
      </c>
      <c r="AX103" s="88">
        <v>10.853</v>
      </c>
      <c r="AY103" s="88">
        <v>4.0</v>
      </c>
      <c r="AZ103" s="88">
        <v>1.0</v>
      </c>
      <c r="BB103" s="88">
        <v>4.0</v>
      </c>
      <c r="BC103" s="88">
        <v>2.0</v>
      </c>
      <c r="BD103" s="88">
        <v>0.0</v>
      </c>
      <c r="BE103" s="88">
        <v>1.1</v>
      </c>
      <c r="BF103" s="88">
        <v>130.0</v>
      </c>
      <c r="BG103" s="88">
        <v>53.0</v>
      </c>
      <c r="BH103" s="88">
        <v>0.0</v>
      </c>
      <c r="BI103" s="88">
        <v>21.0</v>
      </c>
      <c r="BJ103" s="88">
        <v>11.0</v>
      </c>
      <c r="BK103" s="88">
        <v>0.0</v>
      </c>
      <c r="BP103" s="88" t="s">
        <v>909</v>
      </c>
      <c r="BQ103" s="88">
        <v>0.101</v>
      </c>
      <c r="BV103" s="88" t="s">
        <v>273</v>
      </c>
      <c r="BW103" s="88">
        <v>1.1</v>
      </c>
      <c r="CI103" s="87" t="s">
        <v>904</v>
      </c>
      <c r="CJ103" s="89">
        <v>46037.659166666665</v>
      </c>
    </row>
    <row r="104">
      <c r="A104" s="87" t="s">
        <v>910</v>
      </c>
      <c r="B104" s="88" t="s">
        <v>336</v>
      </c>
      <c r="C104" s="88" t="s">
        <v>337</v>
      </c>
      <c r="D104" s="88">
        <v>5.0</v>
      </c>
      <c r="E104" s="88" t="s">
        <v>345</v>
      </c>
      <c r="F104" s="87" t="s">
        <v>339</v>
      </c>
      <c r="G104" s="88" t="s">
        <v>261</v>
      </c>
      <c r="H104" s="88">
        <v>200.0</v>
      </c>
      <c r="I104" s="88" t="s">
        <v>262</v>
      </c>
      <c r="J104" s="88" t="s">
        <v>263</v>
      </c>
      <c r="L104" s="88" t="s">
        <v>911</v>
      </c>
      <c r="M104" s="88">
        <v>67.0</v>
      </c>
      <c r="N104" s="88">
        <v>617.0</v>
      </c>
      <c r="O104" s="88" t="s">
        <v>912</v>
      </c>
      <c r="P104" s="88">
        <v>175.0</v>
      </c>
      <c r="Q104" s="88">
        <v>1047.0</v>
      </c>
      <c r="R104" s="88" t="s">
        <v>913</v>
      </c>
      <c r="S104" s="88">
        <v>110.0</v>
      </c>
      <c r="T104" s="88">
        <v>658.0</v>
      </c>
      <c r="V104" s="88">
        <v>0.0</v>
      </c>
      <c r="W104" s="88" t="s">
        <v>914</v>
      </c>
      <c r="X104" s="88">
        <v>56.0</v>
      </c>
      <c r="Z104" s="88">
        <v>0.0</v>
      </c>
      <c r="AA104" s="88" t="s">
        <v>287</v>
      </c>
      <c r="AB104" s="88">
        <v>16.0</v>
      </c>
      <c r="AC104" s="88" t="s">
        <v>288</v>
      </c>
      <c r="AD104" s="88">
        <v>34.0</v>
      </c>
      <c r="AE104" s="88" t="s">
        <v>270</v>
      </c>
      <c r="AH104" s="87" t="s">
        <v>910</v>
      </c>
      <c r="AN104" s="88">
        <v>188778.0</v>
      </c>
      <c r="AO104" s="88">
        <v>33930.0</v>
      </c>
      <c r="AP104" s="88">
        <v>33930.0</v>
      </c>
      <c r="AQ104" s="88">
        <v>12.998</v>
      </c>
      <c r="AS104" s="88">
        <v>2314.0</v>
      </c>
      <c r="AT104" s="88">
        <v>364.0</v>
      </c>
      <c r="AU104" s="88">
        <v>6.357</v>
      </c>
      <c r="AV104" s="88">
        <v>36.996</v>
      </c>
      <c r="AW104" s="88" t="s">
        <v>280</v>
      </c>
      <c r="AX104" s="88">
        <v>10.16</v>
      </c>
      <c r="AY104" s="88">
        <v>6.0</v>
      </c>
      <c r="AZ104" s="88">
        <v>1.0</v>
      </c>
      <c r="BB104" s="88">
        <v>4.0</v>
      </c>
      <c r="BC104" s="88">
        <v>2.0</v>
      </c>
      <c r="BD104" s="88">
        <v>0.0</v>
      </c>
      <c r="BE104" s="88">
        <v>1.1</v>
      </c>
      <c r="BF104" s="88">
        <v>132.0</v>
      </c>
      <c r="BG104" s="88">
        <v>55.0</v>
      </c>
      <c r="BH104" s="88">
        <v>0.0</v>
      </c>
      <c r="BI104" s="88">
        <v>23.0</v>
      </c>
      <c r="BJ104" s="88">
        <v>13.0</v>
      </c>
      <c r="BK104" s="88">
        <v>0.0</v>
      </c>
      <c r="BP104" s="88" t="s">
        <v>915</v>
      </c>
      <c r="BQ104" s="88">
        <v>0.167</v>
      </c>
      <c r="BV104" s="88" t="s">
        <v>273</v>
      </c>
      <c r="BW104" s="88">
        <v>1.1</v>
      </c>
      <c r="BX104" s="88">
        <v>5.0</v>
      </c>
      <c r="BY104" s="88">
        <v>0.0</v>
      </c>
      <c r="BZ104" s="88">
        <v>0.0</v>
      </c>
      <c r="CA104" s="88">
        <v>0.0</v>
      </c>
      <c r="CB104" s="88">
        <v>21.0</v>
      </c>
      <c r="CC104" s="88">
        <v>0.0</v>
      </c>
      <c r="CI104" s="87" t="s">
        <v>910</v>
      </c>
      <c r="CJ104" s="89">
        <v>46037.659583333334</v>
      </c>
    </row>
    <row r="105">
      <c r="A105" s="87" t="s">
        <v>916</v>
      </c>
      <c r="B105" s="88" t="s">
        <v>336</v>
      </c>
      <c r="C105" s="88" t="s">
        <v>337</v>
      </c>
      <c r="E105" s="88" t="s">
        <v>345</v>
      </c>
      <c r="F105" s="88" t="s">
        <v>917</v>
      </c>
      <c r="G105" s="88" t="s">
        <v>261</v>
      </c>
      <c r="H105" s="88">
        <v>200.0</v>
      </c>
      <c r="I105" s="88" t="s">
        <v>262</v>
      </c>
      <c r="J105" s="88" t="s">
        <v>263</v>
      </c>
      <c r="L105" s="88" t="s">
        <v>918</v>
      </c>
      <c r="M105" s="88">
        <v>70.0</v>
      </c>
      <c r="N105" s="88">
        <v>646.0</v>
      </c>
      <c r="O105" s="88" t="s">
        <v>919</v>
      </c>
      <c r="P105" s="88">
        <v>172.0</v>
      </c>
      <c r="Q105" s="88">
        <v>1041.0</v>
      </c>
      <c r="R105" s="88" t="s">
        <v>920</v>
      </c>
      <c r="S105" s="88">
        <v>109.0</v>
      </c>
      <c r="T105" s="88">
        <v>668.0</v>
      </c>
      <c r="V105" s="88">
        <v>0.0</v>
      </c>
      <c r="W105" s="88" t="s">
        <v>921</v>
      </c>
      <c r="X105" s="88">
        <v>59.0</v>
      </c>
      <c r="Z105" s="88">
        <v>0.0</v>
      </c>
      <c r="AA105" s="88" t="s">
        <v>287</v>
      </c>
      <c r="AB105" s="88">
        <v>16.0</v>
      </c>
      <c r="AC105" s="88" t="s">
        <v>288</v>
      </c>
      <c r="AD105" s="88">
        <v>34.0</v>
      </c>
      <c r="AE105" s="88" t="s">
        <v>270</v>
      </c>
      <c r="AH105" s="87" t="s">
        <v>916</v>
      </c>
      <c r="AN105" s="88">
        <v>192335.0</v>
      </c>
      <c r="AO105" s="88">
        <v>34873.0</v>
      </c>
      <c r="AP105" s="88">
        <v>34873.0</v>
      </c>
      <c r="AQ105" s="88">
        <v>13.359</v>
      </c>
      <c r="AS105" s="88">
        <v>2645.0</v>
      </c>
      <c r="AT105" s="88">
        <v>399.0</v>
      </c>
      <c r="AU105" s="88">
        <v>6.629</v>
      </c>
      <c r="AV105" s="88">
        <v>39.83</v>
      </c>
      <c r="AW105" s="88" t="s">
        <v>280</v>
      </c>
      <c r="AX105" s="88">
        <v>11.159</v>
      </c>
      <c r="AY105" s="88">
        <v>5.0</v>
      </c>
      <c r="AZ105" s="88">
        <v>1.0</v>
      </c>
      <c r="BB105" s="88">
        <v>4.0</v>
      </c>
      <c r="BC105" s="88">
        <v>2.0</v>
      </c>
      <c r="BD105" s="88">
        <v>0.0</v>
      </c>
      <c r="BE105" s="88">
        <v>1.1</v>
      </c>
      <c r="BF105" s="88">
        <v>133.0</v>
      </c>
      <c r="BG105" s="88">
        <v>56.0</v>
      </c>
      <c r="BH105" s="88">
        <v>0.0</v>
      </c>
      <c r="BI105" s="88">
        <v>27.0</v>
      </c>
      <c r="BJ105" s="88">
        <v>13.0</v>
      </c>
      <c r="BK105" s="88">
        <v>0.0</v>
      </c>
      <c r="BP105" s="88" t="s">
        <v>922</v>
      </c>
      <c r="BQ105" s="88">
        <v>0.188</v>
      </c>
      <c r="BV105" s="88" t="s">
        <v>273</v>
      </c>
      <c r="BW105" s="88">
        <v>1.1</v>
      </c>
      <c r="CI105" s="87" t="s">
        <v>916</v>
      </c>
      <c r="CJ105" s="89">
        <v>46037.659479166665</v>
      </c>
    </row>
    <row r="106">
      <c r="A106" s="87" t="s">
        <v>923</v>
      </c>
      <c r="B106" s="88" t="s">
        <v>336</v>
      </c>
      <c r="C106" s="88" t="s">
        <v>337</v>
      </c>
      <c r="E106" s="88" t="s">
        <v>345</v>
      </c>
      <c r="F106" s="88" t="s">
        <v>917</v>
      </c>
      <c r="G106" s="88" t="s">
        <v>261</v>
      </c>
      <c r="H106" s="88">
        <v>200.0</v>
      </c>
      <c r="I106" s="88" t="s">
        <v>262</v>
      </c>
      <c r="J106" s="88" t="s">
        <v>263</v>
      </c>
      <c r="L106" s="88" t="s">
        <v>924</v>
      </c>
      <c r="M106" s="88">
        <v>58.0</v>
      </c>
      <c r="N106" s="88">
        <v>557.0</v>
      </c>
      <c r="O106" s="88" t="s">
        <v>925</v>
      </c>
      <c r="P106" s="88">
        <v>161.0</v>
      </c>
      <c r="Q106" s="88">
        <v>966.0</v>
      </c>
      <c r="R106" s="88" t="s">
        <v>926</v>
      </c>
      <c r="S106" s="88">
        <v>139.0</v>
      </c>
      <c r="T106" s="88">
        <v>856.0</v>
      </c>
      <c r="V106" s="88">
        <v>0.0</v>
      </c>
      <c r="W106" s="88" t="s">
        <v>924</v>
      </c>
      <c r="X106" s="88">
        <v>58.0</v>
      </c>
      <c r="Z106" s="88">
        <v>0.0</v>
      </c>
      <c r="AA106" s="88" t="s">
        <v>287</v>
      </c>
      <c r="AB106" s="88">
        <v>16.0</v>
      </c>
      <c r="AC106" s="88" t="s">
        <v>288</v>
      </c>
      <c r="AD106" s="88">
        <v>34.0</v>
      </c>
      <c r="AE106" s="88" t="s">
        <v>270</v>
      </c>
      <c r="AH106" s="87" t="s">
        <v>923</v>
      </c>
      <c r="AN106" s="88">
        <v>188678.0</v>
      </c>
      <c r="AO106" s="88">
        <v>33837.0</v>
      </c>
      <c r="AP106" s="88">
        <v>33837.0</v>
      </c>
      <c r="AQ106" s="88">
        <v>12.962</v>
      </c>
      <c r="AS106" s="88">
        <v>2251.0</v>
      </c>
      <c r="AT106" s="88">
        <v>355.0</v>
      </c>
      <c r="AU106" s="88">
        <v>6.341</v>
      </c>
      <c r="AV106" s="88">
        <v>40.369</v>
      </c>
      <c r="AW106" s="88" t="s">
        <v>280</v>
      </c>
      <c r="AX106" s="88">
        <v>9.955</v>
      </c>
      <c r="AY106" s="88">
        <v>5.0</v>
      </c>
      <c r="AZ106" s="88">
        <v>1.0</v>
      </c>
      <c r="BB106" s="88">
        <v>4.0</v>
      </c>
      <c r="BC106" s="88">
        <v>2.0</v>
      </c>
      <c r="BD106" s="88">
        <v>0.0</v>
      </c>
      <c r="BE106" s="88">
        <v>1.1</v>
      </c>
      <c r="BF106" s="88">
        <v>133.0</v>
      </c>
      <c r="BG106" s="88">
        <v>56.0</v>
      </c>
      <c r="BH106" s="88">
        <v>0.0</v>
      </c>
      <c r="BI106" s="88">
        <v>25.0</v>
      </c>
      <c r="BJ106" s="88">
        <v>11.0</v>
      </c>
      <c r="BK106" s="88">
        <v>0.0</v>
      </c>
      <c r="BP106" s="88" t="s">
        <v>927</v>
      </c>
      <c r="BQ106" s="88">
        <v>0.119</v>
      </c>
      <c r="BV106" s="88" t="s">
        <v>273</v>
      </c>
      <c r="BW106" s="88">
        <v>1.1</v>
      </c>
      <c r="CI106" s="87" t="s">
        <v>923</v>
      </c>
      <c r="CJ106" s="89">
        <v>46037.65949074074</v>
      </c>
    </row>
    <row r="107">
      <c r="A107" s="87" t="s">
        <v>928</v>
      </c>
      <c r="B107" s="88" t="s">
        <v>336</v>
      </c>
      <c r="C107" s="88" t="s">
        <v>337</v>
      </c>
      <c r="E107" s="88" t="s">
        <v>345</v>
      </c>
      <c r="F107" s="87" t="s">
        <v>339</v>
      </c>
      <c r="G107" s="88" t="s">
        <v>261</v>
      </c>
      <c r="H107" s="88">
        <v>200.0</v>
      </c>
      <c r="I107" s="88" t="s">
        <v>262</v>
      </c>
      <c r="J107" s="88" t="s">
        <v>263</v>
      </c>
      <c r="L107" s="88" t="s">
        <v>929</v>
      </c>
      <c r="M107" s="88">
        <v>71.0</v>
      </c>
      <c r="N107" s="88">
        <v>644.0</v>
      </c>
      <c r="O107" s="88" t="s">
        <v>930</v>
      </c>
      <c r="P107" s="88">
        <v>160.0</v>
      </c>
      <c r="Q107" s="88">
        <v>978.0</v>
      </c>
      <c r="R107" s="88" t="s">
        <v>931</v>
      </c>
      <c r="S107" s="88">
        <v>126.0</v>
      </c>
      <c r="T107" s="88">
        <v>768.0</v>
      </c>
      <c r="V107" s="88">
        <v>0.0</v>
      </c>
      <c r="W107" s="88" t="s">
        <v>932</v>
      </c>
      <c r="X107" s="88">
        <v>57.0</v>
      </c>
      <c r="Z107" s="88">
        <v>0.0</v>
      </c>
      <c r="AA107" s="88" t="s">
        <v>287</v>
      </c>
      <c r="AB107" s="88">
        <v>16.0</v>
      </c>
      <c r="AC107" s="88" t="s">
        <v>288</v>
      </c>
      <c r="AD107" s="88">
        <v>34.0</v>
      </c>
      <c r="AE107" s="88" t="s">
        <v>270</v>
      </c>
      <c r="AH107" s="87" t="s">
        <v>928</v>
      </c>
      <c r="AN107" s="88">
        <v>187646.0</v>
      </c>
      <c r="AO107" s="88">
        <v>34013.0</v>
      </c>
      <c r="AP107" s="88">
        <v>34013.0</v>
      </c>
      <c r="AQ107" s="88">
        <v>13.03</v>
      </c>
      <c r="AS107" s="88">
        <v>2203.0</v>
      </c>
      <c r="AT107" s="88">
        <v>346.0</v>
      </c>
      <c r="AU107" s="88">
        <v>6.367</v>
      </c>
      <c r="AV107" s="88">
        <v>34.897</v>
      </c>
      <c r="AW107" s="88" t="s">
        <v>280</v>
      </c>
      <c r="AX107" s="88">
        <v>9.878</v>
      </c>
      <c r="AY107" s="88">
        <v>5.0</v>
      </c>
      <c r="AZ107" s="88">
        <v>1.0</v>
      </c>
      <c r="BB107" s="88">
        <v>4.0</v>
      </c>
      <c r="BC107" s="88">
        <v>2.0</v>
      </c>
      <c r="BD107" s="88">
        <v>0.0</v>
      </c>
      <c r="BE107" s="88">
        <v>1.1</v>
      </c>
      <c r="BF107" s="88">
        <v>130.0</v>
      </c>
      <c r="BG107" s="88">
        <v>53.0</v>
      </c>
      <c r="BH107" s="88">
        <v>0.0</v>
      </c>
      <c r="BI107" s="88">
        <v>21.0</v>
      </c>
      <c r="BJ107" s="88">
        <v>12.0</v>
      </c>
      <c r="BK107" s="88">
        <v>0.0</v>
      </c>
      <c r="BP107" s="88" t="s">
        <v>933</v>
      </c>
      <c r="BQ107" s="88">
        <v>0.177</v>
      </c>
      <c r="BV107" s="88" t="s">
        <v>273</v>
      </c>
      <c r="BW107" s="88">
        <v>1.1</v>
      </c>
      <c r="CI107" s="87" t="s">
        <v>928</v>
      </c>
      <c r="CJ107" s="89">
        <v>46037.65949074074</v>
      </c>
    </row>
    <row r="108">
      <c r="A108" s="87" t="s">
        <v>934</v>
      </c>
      <c r="B108" s="88" t="s">
        <v>336</v>
      </c>
      <c r="C108" s="88" t="s">
        <v>337</v>
      </c>
      <c r="E108" s="88" t="s">
        <v>345</v>
      </c>
      <c r="F108" s="88" t="s">
        <v>917</v>
      </c>
      <c r="G108" s="88" t="s">
        <v>261</v>
      </c>
      <c r="H108" s="88">
        <v>200.0</v>
      </c>
      <c r="I108" s="88" t="s">
        <v>262</v>
      </c>
      <c r="J108" s="88" t="s">
        <v>263</v>
      </c>
      <c r="L108" s="88" t="s">
        <v>935</v>
      </c>
      <c r="M108" s="88">
        <v>69.0</v>
      </c>
      <c r="N108" s="88">
        <v>630.0</v>
      </c>
      <c r="O108" s="88" t="s">
        <v>936</v>
      </c>
      <c r="P108" s="88">
        <v>153.0</v>
      </c>
      <c r="Q108" s="88">
        <v>925.0</v>
      </c>
      <c r="R108" s="88" t="s">
        <v>937</v>
      </c>
      <c r="S108" s="88">
        <v>119.0</v>
      </c>
      <c r="T108" s="88">
        <v>730.0</v>
      </c>
      <c r="V108" s="88">
        <v>0.0</v>
      </c>
      <c r="W108" s="88" t="s">
        <v>938</v>
      </c>
      <c r="X108" s="88">
        <v>57.0</v>
      </c>
      <c r="Z108" s="88">
        <v>0.0</v>
      </c>
      <c r="AA108" s="88" t="s">
        <v>287</v>
      </c>
      <c r="AB108" s="88">
        <v>16.0</v>
      </c>
      <c r="AC108" s="88" t="s">
        <v>288</v>
      </c>
      <c r="AD108" s="88">
        <v>34.0</v>
      </c>
      <c r="AE108" s="88" t="s">
        <v>270</v>
      </c>
      <c r="AH108" s="87" t="s">
        <v>934</v>
      </c>
      <c r="AN108" s="88">
        <v>189706.0</v>
      </c>
      <c r="AO108" s="88">
        <v>34166.0</v>
      </c>
      <c r="AP108" s="88">
        <v>34166.0</v>
      </c>
      <c r="AQ108" s="88">
        <v>13.088</v>
      </c>
      <c r="AS108" s="88">
        <v>2363.0</v>
      </c>
      <c r="AT108" s="88">
        <v>375.0</v>
      </c>
      <c r="AU108" s="88">
        <v>6.301</v>
      </c>
      <c r="AV108" s="88">
        <v>31.919</v>
      </c>
      <c r="AW108" s="88" t="s">
        <v>280</v>
      </c>
      <c r="AX108" s="88">
        <v>10.511</v>
      </c>
      <c r="AY108" s="88">
        <v>5.0</v>
      </c>
      <c r="AZ108" s="88">
        <v>1.0</v>
      </c>
      <c r="BB108" s="88">
        <v>4.0</v>
      </c>
      <c r="BC108" s="88">
        <v>2.0</v>
      </c>
      <c r="BD108" s="88">
        <v>0.0</v>
      </c>
      <c r="BE108" s="88">
        <v>1.1</v>
      </c>
      <c r="BF108" s="88">
        <v>132.0</v>
      </c>
      <c r="BG108" s="88">
        <v>55.0</v>
      </c>
      <c r="BH108" s="88">
        <v>0.0</v>
      </c>
      <c r="BI108" s="88">
        <v>27.0</v>
      </c>
      <c r="BJ108" s="88">
        <v>15.0</v>
      </c>
      <c r="BK108" s="88">
        <v>0.0</v>
      </c>
      <c r="BP108" s="88" t="s">
        <v>939</v>
      </c>
      <c r="BQ108" s="88">
        <v>0.14</v>
      </c>
      <c r="BV108" s="88" t="s">
        <v>273</v>
      </c>
      <c r="BW108" s="88">
        <v>1.1</v>
      </c>
      <c r="CI108" s="87" t="s">
        <v>934</v>
      </c>
      <c r="CJ108" s="89">
        <v>46037.659479166665</v>
      </c>
    </row>
    <row r="109">
      <c r="A109" s="87" t="s">
        <v>940</v>
      </c>
      <c r="B109" s="88" t="s">
        <v>336</v>
      </c>
      <c r="C109" s="88" t="s">
        <v>337</v>
      </c>
      <c r="D109" s="88">
        <v>1.0</v>
      </c>
      <c r="E109" s="88" t="s">
        <v>345</v>
      </c>
      <c r="F109" s="87" t="s">
        <v>477</v>
      </c>
      <c r="G109" s="88" t="s">
        <v>261</v>
      </c>
      <c r="H109" s="88">
        <v>200.0</v>
      </c>
      <c r="I109" s="88" t="s">
        <v>262</v>
      </c>
      <c r="J109" s="88" t="s">
        <v>263</v>
      </c>
      <c r="L109" s="88" t="s">
        <v>941</v>
      </c>
      <c r="M109" s="88">
        <v>61.0</v>
      </c>
      <c r="N109" s="88">
        <v>576.0</v>
      </c>
      <c r="O109" s="88" t="s">
        <v>942</v>
      </c>
      <c r="P109" s="88">
        <v>156.0</v>
      </c>
      <c r="Q109" s="88">
        <v>942.0</v>
      </c>
      <c r="R109" s="88" t="s">
        <v>943</v>
      </c>
      <c r="S109" s="88">
        <v>101.0</v>
      </c>
      <c r="T109" s="88">
        <v>625.0</v>
      </c>
      <c r="V109" s="88">
        <v>0.0</v>
      </c>
      <c r="W109" s="88" t="s">
        <v>944</v>
      </c>
      <c r="X109" s="88">
        <v>56.0</v>
      </c>
      <c r="Z109" s="88">
        <v>0.0</v>
      </c>
      <c r="AA109" s="88" t="s">
        <v>287</v>
      </c>
      <c r="AB109" s="88">
        <v>16.0</v>
      </c>
      <c r="AC109" s="88" t="s">
        <v>288</v>
      </c>
      <c r="AD109" s="88">
        <v>34.0</v>
      </c>
      <c r="AE109" s="88" t="s">
        <v>270</v>
      </c>
      <c r="AH109" s="87" t="s">
        <v>940</v>
      </c>
      <c r="AN109" s="88">
        <v>190797.0</v>
      </c>
      <c r="AO109" s="88">
        <v>34572.0</v>
      </c>
      <c r="AP109" s="88">
        <v>34572.0</v>
      </c>
      <c r="AQ109" s="88">
        <v>13.244</v>
      </c>
      <c r="AS109" s="88">
        <v>2513.0</v>
      </c>
      <c r="AT109" s="88">
        <v>398.0</v>
      </c>
      <c r="AU109" s="88">
        <v>6.314</v>
      </c>
      <c r="AV109" s="88">
        <v>33.246</v>
      </c>
      <c r="AW109" s="88" t="s">
        <v>280</v>
      </c>
      <c r="AX109" s="88">
        <v>11.035</v>
      </c>
      <c r="AY109" s="88">
        <v>6.0</v>
      </c>
      <c r="AZ109" s="88">
        <v>1.0</v>
      </c>
      <c r="BB109" s="88">
        <v>4.0</v>
      </c>
      <c r="BC109" s="88">
        <v>2.0</v>
      </c>
      <c r="BD109" s="88">
        <v>0.0</v>
      </c>
      <c r="BE109" s="88">
        <v>1.1</v>
      </c>
      <c r="BF109" s="88">
        <v>129.0</v>
      </c>
      <c r="BG109" s="88">
        <v>52.0</v>
      </c>
      <c r="BH109" s="88">
        <v>0.0</v>
      </c>
      <c r="BI109" s="88">
        <v>21.0</v>
      </c>
      <c r="BJ109" s="88">
        <v>12.0</v>
      </c>
      <c r="BK109" s="88">
        <v>0.0</v>
      </c>
      <c r="BP109" s="88" t="s">
        <v>945</v>
      </c>
      <c r="BQ109" s="88">
        <v>0.104</v>
      </c>
      <c r="BV109" s="88" t="s">
        <v>273</v>
      </c>
      <c r="BW109" s="88">
        <v>1.1</v>
      </c>
      <c r="BX109" s="88">
        <v>1.0</v>
      </c>
      <c r="BY109" s="88">
        <v>0.0</v>
      </c>
      <c r="BZ109" s="88">
        <v>0.0</v>
      </c>
      <c r="CA109" s="88">
        <v>0.0</v>
      </c>
      <c r="CB109" s="88">
        <v>3.0</v>
      </c>
      <c r="CC109" s="88">
        <v>0.0</v>
      </c>
      <c r="CI109" s="87" t="s">
        <v>940</v>
      </c>
      <c r="CJ109" s="89">
        <v>46037.65956018519</v>
      </c>
    </row>
    <row r="110">
      <c r="A110" s="87" t="s">
        <v>946</v>
      </c>
      <c r="B110" s="88" t="s">
        <v>336</v>
      </c>
      <c r="C110" s="88" t="s">
        <v>337</v>
      </c>
      <c r="E110" s="88" t="s">
        <v>571</v>
      </c>
      <c r="F110" s="88"/>
      <c r="G110" s="88" t="s">
        <v>261</v>
      </c>
      <c r="H110" s="88">
        <v>200.0</v>
      </c>
      <c r="I110" s="88" t="s">
        <v>262</v>
      </c>
      <c r="J110" s="88" t="s">
        <v>263</v>
      </c>
      <c r="L110" s="88" t="s">
        <v>947</v>
      </c>
      <c r="M110" s="88">
        <v>64.0</v>
      </c>
      <c r="N110" s="88">
        <v>580.0</v>
      </c>
      <c r="O110" s="88" t="s">
        <v>948</v>
      </c>
      <c r="P110" s="88">
        <v>164.0</v>
      </c>
      <c r="Q110" s="88">
        <v>1017.0</v>
      </c>
      <c r="R110" s="88" t="s">
        <v>949</v>
      </c>
      <c r="S110" s="88">
        <v>128.0</v>
      </c>
      <c r="T110" s="88">
        <v>778.0</v>
      </c>
      <c r="V110" s="88">
        <v>0.0</v>
      </c>
      <c r="W110" s="88" t="s">
        <v>950</v>
      </c>
      <c r="X110" s="88">
        <v>54.0</v>
      </c>
      <c r="Z110" s="88">
        <v>0.0</v>
      </c>
      <c r="AA110" s="88" t="s">
        <v>287</v>
      </c>
      <c r="AB110" s="88">
        <v>16.0</v>
      </c>
      <c r="AC110" s="88" t="s">
        <v>288</v>
      </c>
      <c r="AD110" s="88">
        <v>34.0</v>
      </c>
      <c r="AE110" s="88" t="s">
        <v>270</v>
      </c>
      <c r="AH110" s="87" t="s">
        <v>946</v>
      </c>
      <c r="AN110" s="88">
        <v>189509.0</v>
      </c>
      <c r="AO110" s="88">
        <v>33911.0</v>
      </c>
      <c r="AP110" s="88">
        <v>33911.0</v>
      </c>
      <c r="AQ110" s="88">
        <v>12.991</v>
      </c>
      <c r="AS110" s="88">
        <v>2358.0</v>
      </c>
      <c r="AT110" s="88">
        <v>372.0</v>
      </c>
      <c r="AU110" s="88">
        <v>6.339</v>
      </c>
      <c r="AV110" s="88">
        <v>38.126</v>
      </c>
      <c r="AW110" s="88" t="s">
        <v>280</v>
      </c>
      <c r="AX110" s="88">
        <v>10.337</v>
      </c>
      <c r="AY110" s="88">
        <v>5.0</v>
      </c>
      <c r="AZ110" s="88">
        <v>1.0</v>
      </c>
      <c r="BB110" s="88">
        <v>4.0</v>
      </c>
      <c r="BC110" s="88">
        <v>2.0</v>
      </c>
      <c r="BD110" s="88">
        <v>0.0</v>
      </c>
      <c r="BE110" s="88">
        <v>1.1</v>
      </c>
      <c r="BF110" s="88">
        <v>127.0</v>
      </c>
      <c r="BG110" s="88">
        <v>50.0</v>
      </c>
      <c r="BH110" s="88">
        <v>0.0</v>
      </c>
      <c r="BI110" s="88">
        <v>28.0</v>
      </c>
      <c r="BJ110" s="88">
        <v>17.0</v>
      </c>
      <c r="BK110" s="88">
        <v>0.0</v>
      </c>
      <c r="BP110" s="88" t="s">
        <v>951</v>
      </c>
      <c r="BQ110" s="88">
        <v>0.089</v>
      </c>
      <c r="BV110" s="88" t="s">
        <v>273</v>
      </c>
      <c r="BW110" s="88">
        <v>1.1</v>
      </c>
      <c r="CI110" s="87" t="s">
        <v>946</v>
      </c>
      <c r="CJ110" s="89">
        <v>46037.65949074074</v>
      </c>
    </row>
    <row r="111">
      <c r="A111" s="87" t="s">
        <v>952</v>
      </c>
      <c r="B111" s="88" t="s">
        <v>336</v>
      </c>
      <c r="C111" s="88" t="s">
        <v>337</v>
      </c>
      <c r="E111" s="88" t="s">
        <v>345</v>
      </c>
      <c r="F111" s="90" t="s">
        <v>579</v>
      </c>
      <c r="G111" s="88" t="s">
        <v>261</v>
      </c>
      <c r="H111" s="88">
        <v>200.0</v>
      </c>
      <c r="I111" s="88" t="s">
        <v>262</v>
      </c>
      <c r="J111" s="88" t="s">
        <v>263</v>
      </c>
      <c r="L111" s="88" t="s">
        <v>953</v>
      </c>
      <c r="M111" s="88">
        <v>71.0</v>
      </c>
      <c r="N111" s="88">
        <v>638.0</v>
      </c>
      <c r="O111" s="88" t="s">
        <v>954</v>
      </c>
      <c r="P111" s="88">
        <v>180.0</v>
      </c>
      <c r="Q111" s="88">
        <v>1080.0</v>
      </c>
      <c r="R111" s="88" t="s">
        <v>955</v>
      </c>
      <c r="S111" s="88">
        <v>109.0</v>
      </c>
      <c r="T111" s="88">
        <v>664.0</v>
      </c>
      <c r="V111" s="88">
        <v>0.0</v>
      </c>
      <c r="W111" s="88" t="s">
        <v>956</v>
      </c>
      <c r="X111" s="88">
        <v>54.0</v>
      </c>
      <c r="Z111" s="88">
        <v>0.0</v>
      </c>
      <c r="AA111" s="88" t="s">
        <v>287</v>
      </c>
      <c r="AB111" s="88">
        <v>16.0</v>
      </c>
      <c r="AC111" s="88" t="s">
        <v>288</v>
      </c>
      <c r="AD111" s="88">
        <v>34.0</v>
      </c>
      <c r="AE111" s="88" t="s">
        <v>270</v>
      </c>
      <c r="AH111" s="87" t="s">
        <v>952</v>
      </c>
      <c r="AN111" s="88">
        <v>190390.0</v>
      </c>
      <c r="AO111" s="88">
        <v>34301.0</v>
      </c>
      <c r="AP111" s="88">
        <v>34301.0</v>
      </c>
      <c r="AQ111" s="88">
        <v>13.14</v>
      </c>
      <c r="AS111" s="88">
        <v>2429.0</v>
      </c>
      <c r="AT111" s="88">
        <v>377.0</v>
      </c>
      <c r="AU111" s="88">
        <v>6.443</v>
      </c>
      <c r="AV111" s="88">
        <v>42.067</v>
      </c>
      <c r="AW111" s="88" t="s">
        <v>280</v>
      </c>
      <c r="AX111" s="88">
        <v>10.448</v>
      </c>
      <c r="AY111" s="88">
        <v>5.0</v>
      </c>
      <c r="AZ111" s="88">
        <v>1.0</v>
      </c>
      <c r="BB111" s="88">
        <v>4.0</v>
      </c>
      <c r="BC111" s="88">
        <v>2.0</v>
      </c>
      <c r="BD111" s="88">
        <v>0.0</v>
      </c>
      <c r="BE111" s="88">
        <v>1.1</v>
      </c>
      <c r="BF111" s="88">
        <v>132.0</v>
      </c>
      <c r="BG111" s="88">
        <v>55.0</v>
      </c>
      <c r="BH111" s="88">
        <v>0.0</v>
      </c>
      <c r="BI111" s="88">
        <v>29.0</v>
      </c>
      <c r="BJ111" s="88">
        <v>17.0</v>
      </c>
      <c r="BK111" s="88">
        <v>0.0</v>
      </c>
      <c r="BP111" s="88" t="s">
        <v>957</v>
      </c>
      <c r="BQ111" s="88">
        <v>0.061</v>
      </c>
      <c r="BV111" s="88" t="s">
        <v>273</v>
      </c>
      <c r="BW111" s="88">
        <v>1.1</v>
      </c>
      <c r="CI111" s="87" t="s">
        <v>952</v>
      </c>
      <c r="CJ111" s="89">
        <v>46037.65951388889</v>
      </c>
    </row>
    <row r="112">
      <c r="A112" s="87" t="s">
        <v>958</v>
      </c>
      <c r="B112" s="88" t="s">
        <v>336</v>
      </c>
      <c r="C112" s="88" t="s">
        <v>337</v>
      </c>
      <c r="E112" s="88" t="s">
        <v>345</v>
      </c>
      <c r="F112" s="90" t="s">
        <v>579</v>
      </c>
      <c r="G112" s="88" t="s">
        <v>261</v>
      </c>
      <c r="H112" s="88">
        <v>200.0</v>
      </c>
      <c r="I112" s="88" t="s">
        <v>262</v>
      </c>
      <c r="J112" s="88" t="s">
        <v>263</v>
      </c>
      <c r="L112" s="88" t="s">
        <v>959</v>
      </c>
      <c r="M112" s="88">
        <v>65.0</v>
      </c>
      <c r="N112" s="88">
        <v>600.0</v>
      </c>
      <c r="O112" s="88" t="s">
        <v>960</v>
      </c>
      <c r="P112" s="88">
        <v>166.0</v>
      </c>
      <c r="Q112" s="88">
        <v>994.0</v>
      </c>
      <c r="R112" s="88" t="s">
        <v>961</v>
      </c>
      <c r="S112" s="88">
        <v>114.0</v>
      </c>
      <c r="T112" s="88">
        <v>708.0</v>
      </c>
      <c r="V112" s="88">
        <v>0.0</v>
      </c>
      <c r="W112" s="88" t="s">
        <v>962</v>
      </c>
      <c r="X112" s="88">
        <v>56.0</v>
      </c>
      <c r="Z112" s="88">
        <v>0.0</v>
      </c>
      <c r="AA112" s="88" t="s">
        <v>287</v>
      </c>
      <c r="AB112" s="88">
        <v>16.0</v>
      </c>
      <c r="AC112" s="88" t="s">
        <v>288</v>
      </c>
      <c r="AD112" s="88">
        <v>34.0</v>
      </c>
      <c r="AE112" s="88" t="s">
        <v>270</v>
      </c>
      <c r="AH112" s="87" t="s">
        <v>958</v>
      </c>
      <c r="AN112" s="88">
        <v>188583.0</v>
      </c>
      <c r="AO112" s="88">
        <v>34034.0</v>
      </c>
      <c r="AP112" s="88">
        <v>34034.0</v>
      </c>
      <c r="AQ112" s="88">
        <v>13.038</v>
      </c>
      <c r="AS112" s="88">
        <v>2338.0</v>
      </c>
      <c r="AT112" s="88">
        <v>383.0</v>
      </c>
      <c r="AU112" s="88">
        <v>6.104</v>
      </c>
      <c r="AV112" s="88">
        <v>43.706</v>
      </c>
      <c r="AW112" s="88" t="s">
        <v>280</v>
      </c>
      <c r="AX112" s="88">
        <v>10.143</v>
      </c>
      <c r="AY112" s="88">
        <v>6.0</v>
      </c>
      <c r="AZ112" s="88">
        <v>1.0</v>
      </c>
      <c r="BB112" s="88">
        <v>4.0</v>
      </c>
      <c r="BC112" s="88">
        <v>2.0</v>
      </c>
      <c r="BD112" s="88">
        <v>0.0</v>
      </c>
      <c r="BE112" s="88">
        <v>1.1</v>
      </c>
      <c r="BF112" s="88">
        <v>130.0</v>
      </c>
      <c r="BG112" s="88">
        <v>53.0</v>
      </c>
      <c r="BH112" s="88">
        <v>0.0</v>
      </c>
      <c r="BI112" s="88">
        <v>23.0</v>
      </c>
      <c r="BJ112" s="88">
        <v>14.0</v>
      </c>
      <c r="BK112" s="88">
        <v>0.0</v>
      </c>
      <c r="BP112" s="88" t="s">
        <v>963</v>
      </c>
      <c r="BQ112" s="88">
        <v>0.153</v>
      </c>
      <c r="BV112" s="88" t="s">
        <v>273</v>
      </c>
      <c r="BW112" s="88">
        <v>1.1</v>
      </c>
      <c r="CI112" s="87" t="s">
        <v>958</v>
      </c>
      <c r="CJ112" s="89">
        <v>46037.65956018519</v>
      </c>
    </row>
    <row r="113">
      <c r="A113" s="87" t="s">
        <v>964</v>
      </c>
      <c r="B113" s="88" t="s">
        <v>336</v>
      </c>
      <c r="C113" s="88" t="s">
        <v>337</v>
      </c>
      <c r="D113" s="88">
        <v>1.0</v>
      </c>
      <c r="E113" s="88" t="s">
        <v>345</v>
      </c>
      <c r="F113" s="90" t="s">
        <v>579</v>
      </c>
      <c r="G113" s="88" t="s">
        <v>261</v>
      </c>
      <c r="H113" s="88">
        <v>200.0</v>
      </c>
      <c r="I113" s="88" t="s">
        <v>262</v>
      </c>
      <c r="J113" s="88" t="s">
        <v>263</v>
      </c>
      <c r="L113" s="88" t="s">
        <v>965</v>
      </c>
      <c r="M113" s="88">
        <v>61.0</v>
      </c>
      <c r="N113" s="88">
        <v>564.0</v>
      </c>
      <c r="O113" s="88" t="s">
        <v>966</v>
      </c>
      <c r="P113" s="88">
        <v>162.0</v>
      </c>
      <c r="Q113" s="88">
        <v>962.0</v>
      </c>
      <c r="R113" s="88" t="s">
        <v>967</v>
      </c>
      <c r="S113" s="88">
        <v>101.0</v>
      </c>
      <c r="T113" s="88">
        <v>613.0</v>
      </c>
      <c r="V113" s="88">
        <v>0.0</v>
      </c>
      <c r="W113" s="88" t="s">
        <v>968</v>
      </c>
      <c r="X113" s="88">
        <v>57.0</v>
      </c>
      <c r="Z113" s="88">
        <v>0.0</v>
      </c>
      <c r="AA113" s="88" t="s">
        <v>287</v>
      </c>
      <c r="AB113" s="88">
        <v>16.0</v>
      </c>
      <c r="AC113" s="88" t="s">
        <v>288</v>
      </c>
      <c r="AD113" s="88">
        <v>34.0</v>
      </c>
      <c r="AE113" s="88" t="s">
        <v>270</v>
      </c>
      <c r="AH113" s="87" t="s">
        <v>964</v>
      </c>
      <c r="AN113" s="88">
        <v>191686.0</v>
      </c>
      <c r="AO113" s="88">
        <v>35045.0</v>
      </c>
      <c r="AP113" s="88">
        <v>35045.0</v>
      </c>
      <c r="AQ113" s="88">
        <v>13.425</v>
      </c>
      <c r="AS113" s="88">
        <v>2523.0</v>
      </c>
      <c r="AT113" s="88">
        <v>411.0</v>
      </c>
      <c r="AU113" s="88">
        <v>6.139</v>
      </c>
      <c r="AV113" s="88">
        <v>33.316</v>
      </c>
      <c r="AW113" s="88" t="s">
        <v>280</v>
      </c>
      <c r="AX113" s="88">
        <v>11.069</v>
      </c>
      <c r="AY113" s="88">
        <v>6.0</v>
      </c>
      <c r="AZ113" s="88">
        <v>1.0</v>
      </c>
      <c r="BB113" s="88">
        <v>4.0</v>
      </c>
      <c r="BC113" s="88">
        <v>2.0</v>
      </c>
      <c r="BD113" s="88">
        <v>0.0</v>
      </c>
      <c r="BE113" s="88">
        <v>1.1</v>
      </c>
      <c r="BF113" s="88">
        <v>129.0</v>
      </c>
      <c r="BG113" s="88">
        <v>52.0</v>
      </c>
      <c r="BH113" s="88">
        <v>0.0</v>
      </c>
      <c r="BI113" s="88">
        <v>25.0</v>
      </c>
      <c r="BJ113" s="88">
        <v>15.0</v>
      </c>
      <c r="BK113" s="88">
        <v>0.0</v>
      </c>
      <c r="BP113" s="88" t="s">
        <v>969</v>
      </c>
      <c r="BQ113" s="88">
        <v>0.139</v>
      </c>
      <c r="BV113" s="88" t="s">
        <v>273</v>
      </c>
      <c r="BW113" s="88">
        <v>1.1</v>
      </c>
      <c r="BX113" s="88">
        <v>1.0</v>
      </c>
      <c r="BY113" s="88">
        <v>0.0</v>
      </c>
      <c r="BZ113" s="88">
        <v>0.0</v>
      </c>
      <c r="CA113" s="88">
        <v>0.0</v>
      </c>
      <c r="CB113" s="88">
        <v>3.0</v>
      </c>
      <c r="CC113" s="88">
        <v>0.0</v>
      </c>
      <c r="CI113" s="87" t="s">
        <v>964</v>
      </c>
      <c r="CJ113" s="89">
        <v>46037.65956018519</v>
      </c>
    </row>
    <row r="114">
      <c r="A114" s="87" t="s">
        <v>970</v>
      </c>
      <c r="B114" s="88" t="s">
        <v>336</v>
      </c>
      <c r="C114" s="88" t="s">
        <v>337</v>
      </c>
      <c r="E114" s="88" t="s">
        <v>345</v>
      </c>
      <c r="F114" s="90" t="s">
        <v>579</v>
      </c>
      <c r="G114" s="88" t="s">
        <v>261</v>
      </c>
      <c r="H114" s="88">
        <v>200.0</v>
      </c>
      <c r="I114" s="88" t="s">
        <v>262</v>
      </c>
      <c r="J114" s="88" t="s">
        <v>263</v>
      </c>
      <c r="L114" s="88" t="s">
        <v>971</v>
      </c>
      <c r="M114" s="88">
        <v>59.0</v>
      </c>
      <c r="N114" s="88">
        <v>533.0</v>
      </c>
      <c r="O114" s="88" t="s">
        <v>972</v>
      </c>
      <c r="P114" s="88">
        <v>169.0</v>
      </c>
      <c r="Q114" s="88">
        <v>1040.0</v>
      </c>
      <c r="R114" s="88" t="s">
        <v>973</v>
      </c>
      <c r="S114" s="88">
        <v>117.0</v>
      </c>
      <c r="T114" s="88">
        <v>721.0</v>
      </c>
      <c r="V114" s="88">
        <v>0.0</v>
      </c>
      <c r="W114" s="88" t="s">
        <v>974</v>
      </c>
      <c r="X114" s="88">
        <v>50.0</v>
      </c>
      <c r="Z114" s="88">
        <v>0.0</v>
      </c>
      <c r="AA114" s="88" t="s">
        <v>287</v>
      </c>
      <c r="AB114" s="88">
        <v>16.0</v>
      </c>
      <c r="AC114" s="88" t="s">
        <v>288</v>
      </c>
      <c r="AD114" s="88">
        <v>34.0</v>
      </c>
      <c r="AE114" s="88" t="s">
        <v>270</v>
      </c>
      <c r="AH114" s="87" t="s">
        <v>970</v>
      </c>
      <c r="AN114" s="88">
        <v>190404.0</v>
      </c>
      <c r="AO114" s="88">
        <v>34346.0</v>
      </c>
      <c r="AP114" s="88">
        <v>34346.0</v>
      </c>
      <c r="AQ114" s="88">
        <v>13.157</v>
      </c>
      <c r="AS114" s="88">
        <v>2423.0</v>
      </c>
      <c r="AT114" s="88">
        <v>384.0</v>
      </c>
      <c r="AU114" s="88">
        <v>6.31</v>
      </c>
      <c r="AV114" s="88">
        <v>37.864</v>
      </c>
      <c r="AW114" s="88" t="s">
        <v>280</v>
      </c>
      <c r="AX114" s="88">
        <v>10.522</v>
      </c>
      <c r="AY114" s="88">
        <v>5.0</v>
      </c>
      <c r="AZ114" s="88">
        <v>1.0</v>
      </c>
      <c r="BB114" s="88">
        <v>4.0</v>
      </c>
      <c r="BC114" s="88">
        <v>2.0</v>
      </c>
      <c r="BD114" s="88">
        <v>0.0</v>
      </c>
      <c r="BE114" s="88">
        <v>1.1</v>
      </c>
      <c r="BF114" s="88">
        <v>129.0</v>
      </c>
      <c r="BG114" s="88">
        <v>52.0</v>
      </c>
      <c r="BH114" s="88">
        <v>0.0</v>
      </c>
      <c r="BI114" s="88">
        <v>24.0</v>
      </c>
      <c r="BJ114" s="88">
        <v>13.0</v>
      </c>
      <c r="BK114" s="88">
        <v>0.0</v>
      </c>
      <c r="BP114" s="88" t="s">
        <v>975</v>
      </c>
      <c r="BQ114" s="88">
        <v>0.09</v>
      </c>
      <c r="BV114" s="88" t="s">
        <v>273</v>
      </c>
      <c r="BW114" s="88">
        <v>1.1</v>
      </c>
      <c r="CI114" s="87" t="s">
        <v>970</v>
      </c>
      <c r="CJ114" s="89">
        <v>46037.65951388889</v>
      </c>
    </row>
    <row r="115">
      <c r="A115" s="87" t="s">
        <v>976</v>
      </c>
      <c r="B115" s="88" t="s">
        <v>336</v>
      </c>
      <c r="C115" s="88" t="s">
        <v>337</v>
      </c>
      <c r="E115" s="88" t="s">
        <v>345</v>
      </c>
      <c r="F115" s="88" t="s">
        <v>917</v>
      </c>
      <c r="G115" s="88" t="s">
        <v>261</v>
      </c>
      <c r="H115" s="88">
        <v>200.0</v>
      </c>
      <c r="I115" s="88" t="s">
        <v>262</v>
      </c>
      <c r="J115" s="88" t="s">
        <v>263</v>
      </c>
      <c r="L115" s="88" t="s">
        <v>977</v>
      </c>
      <c r="M115" s="88">
        <v>67.0</v>
      </c>
      <c r="N115" s="88">
        <v>605.0</v>
      </c>
      <c r="O115" s="88" t="s">
        <v>978</v>
      </c>
      <c r="P115" s="88">
        <v>180.0</v>
      </c>
      <c r="Q115" s="88">
        <v>1084.0</v>
      </c>
      <c r="R115" s="88" t="s">
        <v>979</v>
      </c>
      <c r="S115" s="88">
        <v>123.0</v>
      </c>
      <c r="T115" s="88">
        <v>737.0</v>
      </c>
      <c r="V115" s="88">
        <v>0.0</v>
      </c>
      <c r="W115" s="88" t="s">
        <v>980</v>
      </c>
      <c r="X115" s="88">
        <v>59.0</v>
      </c>
      <c r="Z115" s="88">
        <v>0.0</v>
      </c>
      <c r="AA115" s="88" t="s">
        <v>287</v>
      </c>
      <c r="AB115" s="88">
        <v>16.0</v>
      </c>
      <c r="AC115" s="88" t="s">
        <v>288</v>
      </c>
      <c r="AD115" s="88">
        <v>34.0</v>
      </c>
      <c r="AE115" s="88" t="s">
        <v>270</v>
      </c>
      <c r="AH115" s="87" t="s">
        <v>976</v>
      </c>
      <c r="AN115" s="88">
        <v>189446.0</v>
      </c>
      <c r="AO115" s="88">
        <v>33960.0</v>
      </c>
      <c r="AP115" s="88">
        <v>33960.0</v>
      </c>
      <c r="AQ115" s="88">
        <v>13.009</v>
      </c>
      <c r="AS115" s="88">
        <v>2335.0</v>
      </c>
      <c r="AT115" s="88">
        <v>362.0</v>
      </c>
      <c r="AU115" s="88">
        <v>6.45</v>
      </c>
      <c r="AV115" s="88">
        <v>33.407</v>
      </c>
      <c r="AW115" s="88" t="s">
        <v>280</v>
      </c>
      <c r="AX115" s="88">
        <v>10.402</v>
      </c>
      <c r="AY115" s="88">
        <v>6.0</v>
      </c>
      <c r="AZ115" s="88">
        <v>1.0</v>
      </c>
      <c r="BB115" s="88">
        <v>4.0</v>
      </c>
      <c r="BC115" s="88">
        <v>2.0</v>
      </c>
      <c r="BD115" s="88">
        <v>0.0</v>
      </c>
      <c r="BE115" s="88">
        <v>1.1</v>
      </c>
      <c r="BF115" s="88">
        <v>130.0</v>
      </c>
      <c r="BG115" s="88">
        <v>53.0</v>
      </c>
      <c r="BH115" s="88">
        <v>0.0</v>
      </c>
      <c r="BI115" s="88">
        <v>27.0</v>
      </c>
      <c r="BJ115" s="88">
        <v>17.0</v>
      </c>
      <c r="BK115" s="88">
        <v>0.0</v>
      </c>
      <c r="BP115" s="88" t="s">
        <v>981</v>
      </c>
      <c r="BQ115" s="88">
        <v>0.125</v>
      </c>
      <c r="BV115" s="88" t="s">
        <v>273</v>
      </c>
      <c r="BW115" s="88">
        <v>1.1</v>
      </c>
      <c r="CI115" s="87" t="s">
        <v>976</v>
      </c>
      <c r="CJ115" s="89">
        <v>46037.659583333334</v>
      </c>
    </row>
    <row r="116">
      <c r="A116" s="87" t="s">
        <v>982</v>
      </c>
      <c r="B116" s="88" t="s">
        <v>336</v>
      </c>
      <c r="C116" s="88" t="s">
        <v>337</v>
      </c>
      <c r="E116" s="88" t="s">
        <v>345</v>
      </c>
      <c r="F116" s="88" t="s">
        <v>917</v>
      </c>
      <c r="G116" s="88" t="s">
        <v>261</v>
      </c>
      <c r="H116" s="88">
        <v>200.0</v>
      </c>
      <c r="I116" s="88" t="s">
        <v>262</v>
      </c>
      <c r="J116" s="88" t="s">
        <v>263</v>
      </c>
      <c r="L116" s="88" t="s">
        <v>983</v>
      </c>
      <c r="M116" s="88">
        <v>54.0</v>
      </c>
      <c r="N116" s="88">
        <v>510.0</v>
      </c>
      <c r="O116" s="88" t="s">
        <v>984</v>
      </c>
      <c r="P116" s="88">
        <v>153.0</v>
      </c>
      <c r="Q116" s="88">
        <v>946.0</v>
      </c>
      <c r="R116" s="88" t="s">
        <v>985</v>
      </c>
      <c r="S116" s="88">
        <v>125.0</v>
      </c>
      <c r="T116" s="88">
        <v>764.0</v>
      </c>
      <c r="V116" s="88">
        <v>0.0</v>
      </c>
      <c r="W116" s="88" t="s">
        <v>986</v>
      </c>
      <c r="X116" s="88">
        <v>49.0</v>
      </c>
      <c r="Z116" s="88">
        <v>0.0</v>
      </c>
      <c r="AA116" s="88" t="s">
        <v>287</v>
      </c>
      <c r="AB116" s="88">
        <v>16.0</v>
      </c>
      <c r="AC116" s="88" t="s">
        <v>288</v>
      </c>
      <c r="AD116" s="88">
        <v>34.0</v>
      </c>
      <c r="AE116" s="88" t="s">
        <v>270</v>
      </c>
      <c r="AH116" s="87" t="s">
        <v>982</v>
      </c>
      <c r="AN116" s="88">
        <v>190886.0</v>
      </c>
      <c r="AO116" s="88">
        <v>34495.0</v>
      </c>
      <c r="AP116" s="88">
        <v>34495.0</v>
      </c>
      <c r="AQ116" s="88">
        <v>13.214</v>
      </c>
      <c r="AS116" s="88">
        <v>2468.0</v>
      </c>
      <c r="AT116" s="88">
        <v>381.0</v>
      </c>
      <c r="AU116" s="88">
        <v>6.478</v>
      </c>
      <c r="AV116" s="88">
        <v>36.271</v>
      </c>
      <c r="AW116" s="88" t="s">
        <v>280</v>
      </c>
      <c r="AX116" s="88">
        <v>10.686</v>
      </c>
      <c r="AY116" s="88">
        <v>3.0</v>
      </c>
      <c r="AZ116" s="88">
        <v>1.0</v>
      </c>
      <c r="BB116" s="88">
        <v>5.0</v>
      </c>
      <c r="BC116" s="88">
        <v>3.0</v>
      </c>
      <c r="BD116" s="88">
        <v>0.0</v>
      </c>
      <c r="BE116" s="88">
        <v>1.66</v>
      </c>
      <c r="BF116" s="88">
        <v>132.0</v>
      </c>
      <c r="BG116" s="88">
        <v>55.0</v>
      </c>
      <c r="BH116" s="88">
        <v>0.0</v>
      </c>
      <c r="BI116" s="88">
        <v>26.0</v>
      </c>
      <c r="BJ116" s="88">
        <v>15.0</v>
      </c>
      <c r="BK116" s="88">
        <v>0.0</v>
      </c>
      <c r="BP116" s="88" t="s">
        <v>987</v>
      </c>
      <c r="BQ116" s="88">
        <v>0.214</v>
      </c>
      <c r="BV116" s="88" t="s">
        <v>273</v>
      </c>
      <c r="BW116" s="88">
        <v>1.1</v>
      </c>
      <c r="CI116" s="87" t="s">
        <v>982</v>
      </c>
      <c r="CJ116" s="89">
        <v>46037.65903935185</v>
      </c>
    </row>
    <row r="117">
      <c r="A117" s="87" t="s">
        <v>988</v>
      </c>
      <c r="B117" s="88" t="s">
        <v>336</v>
      </c>
      <c r="C117" s="88" t="s">
        <v>337</v>
      </c>
      <c r="D117" s="88">
        <v>1.0</v>
      </c>
      <c r="E117" s="88" t="s">
        <v>571</v>
      </c>
      <c r="F117" s="88"/>
      <c r="G117" s="88" t="s">
        <v>261</v>
      </c>
      <c r="H117" s="88">
        <v>200.0</v>
      </c>
      <c r="I117" s="88" t="s">
        <v>262</v>
      </c>
      <c r="J117" s="88" t="s">
        <v>263</v>
      </c>
      <c r="L117" s="88" t="s">
        <v>989</v>
      </c>
      <c r="M117" s="88">
        <v>65.0</v>
      </c>
      <c r="N117" s="88">
        <v>606.0</v>
      </c>
      <c r="O117" s="88" t="s">
        <v>990</v>
      </c>
      <c r="P117" s="88">
        <v>167.0</v>
      </c>
      <c r="Q117" s="88">
        <v>1020.0</v>
      </c>
      <c r="R117" s="88" t="s">
        <v>991</v>
      </c>
      <c r="S117" s="88">
        <v>101.0</v>
      </c>
      <c r="T117" s="88">
        <v>607.0</v>
      </c>
      <c r="V117" s="88">
        <v>0.0</v>
      </c>
      <c r="W117" s="88" t="s">
        <v>992</v>
      </c>
      <c r="X117" s="88">
        <v>56.0</v>
      </c>
      <c r="Z117" s="88">
        <v>0.0</v>
      </c>
      <c r="AA117" s="88" t="s">
        <v>287</v>
      </c>
      <c r="AB117" s="88">
        <v>16.0</v>
      </c>
      <c r="AC117" s="88" t="s">
        <v>288</v>
      </c>
      <c r="AD117" s="88">
        <v>34.0</v>
      </c>
      <c r="AE117" s="88" t="s">
        <v>270</v>
      </c>
      <c r="AH117" s="87" t="s">
        <v>988</v>
      </c>
      <c r="AN117" s="88">
        <v>189274.0</v>
      </c>
      <c r="AO117" s="88">
        <v>34145.0</v>
      </c>
      <c r="AP117" s="88">
        <v>34145.0</v>
      </c>
      <c r="AQ117" s="88">
        <v>13.08</v>
      </c>
      <c r="AS117" s="88">
        <v>2389.0</v>
      </c>
      <c r="AT117" s="88">
        <v>376.0</v>
      </c>
      <c r="AU117" s="88">
        <v>6.354</v>
      </c>
      <c r="AV117" s="88">
        <v>40.924</v>
      </c>
      <c r="AW117" s="88" t="s">
        <v>280</v>
      </c>
      <c r="AX117" s="88">
        <v>10.375</v>
      </c>
      <c r="AY117" s="88">
        <v>3.0</v>
      </c>
      <c r="AZ117" s="88">
        <v>1.0</v>
      </c>
      <c r="BB117" s="88">
        <v>5.0</v>
      </c>
      <c r="BC117" s="88">
        <v>3.0</v>
      </c>
      <c r="BD117" s="88">
        <v>0.0</v>
      </c>
      <c r="BE117" s="88">
        <v>1.66</v>
      </c>
      <c r="BF117" s="88">
        <v>130.0</v>
      </c>
      <c r="BG117" s="88">
        <v>53.0</v>
      </c>
      <c r="BH117" s="88">
        <v>0.0</v>
      </c>
      <c r="BI117" s="88">
        <v>23.0</v>
      </c>
      <c r="BJ117" s="88">
        <v>15.0</v>
      </c>
      <c r="BK117" s="88">
        <v>0.0</v>
      </c>
      <c r="BP117" s="88" t="s">
        <v>993</v>
      </c>
      <c r="BQ117" s="88">
        <v>0.174</v>
      </c>
      <c r="BV117" s="88" t="s">
        <v>273</v>
      </c>
      <c r="BW117" s="88">
        <v>1.1</v>
      </c>
      <c r="BX117" s="88">
        <v>1.0</v>
      </c>
      <c r="BY117" s="88">
        <v>0.0</v>
      </c>
      <c r="BZ117" s="88">
        <v>0.0</v>
      </c>
      <c r="CA117" s="88">
        <v>0.0</v>
      </c>
      <c r="CB117" s="88">
        <v>3.0</v>
      </c>
      <c r="CC117" s="88">
        <v>0.0</v>
      </c>
      <c r="CI117" s="87" t="s">
        <v>988</v>
      </c>
      <c r="CJ117" s="89">
        <v>46037.6590162037</v>
      </c>
    </row>
    <row r="118">
      <c r="A118" s="87" t="s">
        <v>994</v>
      </c>
      <c r="B118" s="88" t="s">
        <v>336</v>
      </c>
      <c r="C118" s="88" t="s">
        <v>337</v>
      </c>
      <c r="D118" s="88">
        <v>1.0</v>
      </c>
      <c r="E118" s="88" t="s">
        <v>345</v>
      </c>
      <c r="F118" s="88" t="s">
        <v>917</v>
      </c>
      <c r="G118" s="88" t="s">
        <v>261</v>
      </c>
      <c r="H118" s="88">
        <v>200.0</v>
      </c>
      <c r="I118" s="88" t="s">
        <v>262</v>
      </c>
      <c r="J118" s="88" t="s">
        <v>263</v>
      </c>
      <c r="L118" s="88" t="s">
        <v>995</v>
      </c>
      <c r="M118" s="88">
        <v>60.0</v>
      </c>
      <c r="N118" s="88">
        <v>540.0</v>
      </c>
      <c r="O118" s="88" t="s">
        <v>996</v>
      </c>
      <c r="P118" s="88">
        <v>165.0</v>
      </c>
      <c r="Q118" s="88">
        <v>993.0</v>
      </c>
      <c r="R118" s="88" t="s">
        <v>997</v>
      </c>
      <c r="S118" s="88">
        <v>123.0</v>
      </c>
      <c r="T118" s="88">
        <v>743.0</v>
      </c>
      <c r="V118" s="88">
        <v>0.0</v>
      </c>
      <c r="W118" s="88" t="s">
        <v>998</v>
      </c>
      <c r="X118" s="88">
        <v>61.0</v>
      </c>
      <c r="Z118" s="88">
        <v>0.0</v>
      </c>
      <c r="AA118" s="88" t="s">
        <v>287</v>
      </c>
      <c r="AB118" s="88">
        <v>16.0</v>
      </c>
      <c r="AC118" s="88" t="s">
        <v>288</v>
      </c>
      <c r="AD118" s="88">
        <v>34.0</v>
      </c>
      <c r="AE118" s="88" t="s">
        <v>270</v>
      </c>
      <c r="AH118" s="87" t="s">
        <v>994</v>
      </c>
      <c r="AN118" s="88">
        <v>190626.0</v>
      </c>
      <c r="AO118" s="88">
        <v>34574.0</v>
      </c>
      <c r="AP118" s="88">
        <v>34574.0</v>
      </c>
      <c r="AQ118" s="88">
        <v>13.245</v>
      </c>
      <c r="AS118" s="88">
        <v>2559.0</v>
      </c>
      <c r="AT118" s="88">
        <v>385.0</v>
      </c>
      <c r="AU118" s="88">
        <v>6.647</v>
      </c>
      <c r="AV118" s="88">
        <v>40.013</v>
      </c>
      <c r="AW118" s="88" t="s">
        <v>280</v>
      </c>
      <c r="AX118" s="88">
        <v>10.963</v>
      </c>
      <c r="AY118" s="88">
        <v>6.0</v>
      </c>
      <c r="AZ118" s="88">
        <v>1.0</v>
      </c>
      <c r="BB118" s="88">
        <v>4.0</v>
      </c>
      <c r="BC118" s="88">
        <v>2.0</v>
      </c>
      <c r="BD118" s="88">
        <v>0.0</v>
      </c>
      <c r="BE118" s="88">
        <v>1.1</v>
      </c>
      <c r="BF118" s="88">
        <v>135.0</v>
      </c>
      <c r="BG118" s="88">
        <v>58.0</v>
      </c>
      <c r="BH118" s="88">
        <v>0.0</v>
      </c>
      <c r="BI118" s="88">
        <v>20.0</v>
      </c>
      <c r="BJ118" s="88">
        <v>14.0</v>
      </c>
      <c r="BK118" s="88">
        <v>0.0</v>
      </c>
      <c r="BP118" s="88" t="s">
        <v>999</v>
      </c>
      <c r="BQ118" s="88">
        <v>0.136</v>
      </c>
      <c r="BV118" s="88" t="s">
        <v>273</v>
      </c>
      <c r="BW118" s="88">
        <v>1.1</v>
      </c>
      <c r="BX118" s="88">
        <v>1.0</v>
      </c>
      <c r="BY118" s="88">
        <v>0.0</v>
      </c>
      <c r="BZ118" s="88">
        <v>0.0</v>
      </c>
      <c r="CA118" s="88">
        <v>0.0</v>
      </c>
      <c r="CB118" s="88">
        <v>3.0</v>
      </c>
      <c r="CC118" s="88">
        <v>0.0</v>
      </c>
      <c r="CI118" s="87" t="s">
        <v>994</v>
      </c>
      <c r="CJ118" s="89">
        <v>46037.65956018519</v>
      </c>
    </row>
    <row r="119">
      <c r="A119" s="87" t="s">
        <v>1000</v>
      </c>
      <c r="B119" s="88" t="s">
        <v>336</v>
      </c>
      <c r="C119" s="88" t="s">
        <v>337</v>
      </c>
      <c r="E119" s="88" t="s">
        <v>754</v>
      </c>
      <c r="F119" s="88"/>
      <c r="G119" s="88" t="s">
        <v>261</v>
      </c>
      <c r="H119" s="88">
        <v>200.0</v>
      </c>
      <c r="I119" s="88" t="s">
        <v>262</v>
      </c>
      <c r="J119" s="88" t="s">
        <v>263</v>
      </c>
      <c r="L119" s="88" t="s">
        <v>1001</v>
      </c>
      <c r="M119" s="88">
        <v>61.0</v>
      </c>
      <c r="N119" s="88">
        <v>551.0</v>
      </c>
      <c r="O119" s="88" t="s">
        <v>1002</v>
      </c>
      <c r="P119" s="88">
        <v>169.0</v>
      </c>
      <c r="Q119" s="88">
        <v>1046.0</v>
      </c>
      <c r="R119" s="88" t="s">
        <v>1003</v>
      </c>
      <c r="S119" s="88">
        <v>135.0</v>
      </c>
      <c r="T119" s="88">
        <v>836.0</v>
      </c>
      <c r="V119" s="88">
        <v>0.0</v>
      </c>
      <c r="W119" s="88" t="s">
        <v>1004</v>
      </c>
      <c r="X119" s="88">
        <v>56.0</v>
      </c>
      <c r="Z119" s="88">
        <v>0.0</v>
      </c>
      <c r="AA119" s="88" t="s">
        <v>287</v>
      </c>
      <c r="AB119" s="88">
        <v>16.0</v>
      </c>
      <c r="AC119" s="88" t="s">
        <v>288</v>
      </c>
      <c r="AD119" s="88">
        <v>34.0</v>
      </c>
      <c r="AE119" s="88" t="s">
        <v>270</v>
      </c>
      <c r="AH119" s="87" t="s">
        <v>1000</v>
      </c>
      <c r="AN119" s="88">
        <v>187800.0</v>
      </c>
      <c r="AO119" s="88">
        <v>33621.0</v>
      </c>
      <c r="AP119" s="88">
        <v>33621.0</v>
      </c>
      <c r="AQ119" s="88">
        <v>12.88</v>
      </c>
      <c r="AS119" s="88">
        <v>2141.0</v>
      </c>
      <c r="AT119" s="88">
        <v>317.0</v>
      </c>
      <c r="AU119" s="88">
        <v>6.754</v>
      </c>
      <c r="AV119" s="88">
        <v>39.196</v>
      </c>
      <c r="AW119" s="88" t="s">
        <v>280</v>
      </c>
      <c r="AX119" s="88">
        <v>9.511</v>
      </c>
      <c r="AY119" s="88">
        <v>5.0</v>
      </c>
      <c r="AZ119" s="88">
        <v>1.0</v>
      </c>
      <c r="BB119" s="88">
        <v>4.0</v>
      </c>
      <c r="BC119" s="88">
        <v>2.0</v>
      </c>
      <c r="BD119" s="88">
        <v>0.0</v>
      </c>
      <c r="BE119" s="88">
        <v>1.1</v>
      </c>
      <c r="BF119" s="88">
        <v>136.0</v>
      </c>
      <c r="BG119" s="88">
        <v>59.0</v>
      </c>
      <c r="BH119" s="88">
        <v>0.0</v>
      </c>
      <c r="BI119" s="88">
        <v>24.0</v>
      </c>
      <c r="BJ119" s="88">
        <v>13.0</v>
      </c>
      <c r="BK119" s="88">
        <v>0.0</v>
      </c>
      <c r="BP119" s="88" t="s">
        <v>1005</v>
      </c>
      <c r="BQ119" s="88">
        <v>0.092</v>
      </c>
      <c r="BV119" s="88" t="s">
        <v>273</v>
      </c>
      <c r="BW119" s="88">
        <v>1.1</v>
      </c>
      <c r="CI119" s="87" t="s">
        <v>1000</v>
      </c>
      <c r="CJ119" s="89">
        <v>46037.65951388889</v>
      </c>
    </row>
    <row r="120">
      <c r="A120" s="87" t="s">
        <v>1006</v>
      </c>
      <c r="D120" s="88">
        <v>4.0</v>
      </c>
      <c r="E120" s="88" t="s">
        <v>1007</v>
      </c>
      <c r="F120" s="88"/>
      <c r="G120" s="88" t="s">
        <v>261</v>
      </c>
      <c r="H120" s="88">
        <v>200.0</v>
      </c>
      <c r="I120" s="88" t="s">
        <v>262</v>
      </c>
      <c r="J120" s="88" t="s">
        <v>263</v>
      </c>
      <c r="L120" s="88" t="s">
        <v>1008</v>
      </c>
      <c r="M120" s="88">
        <v>40.0</v>
      </c>
      <c r="N120" s="88">
        <v>368.0</v>
      </c>
      <c r="O120" s="88" t="s">
        <v>1009</v>
      </c>
      <c r="P120" s="88">
        <v>152.0</v>
      </c>
      <c r="Q120" s="88">
        <v>954.0</v>
      </c>
      <c r="R120" s="88" t="s">
        <v>1009</v>
      </c>
      <c r="S120" s="88">
        <v>152.0</v>
      </c>
      <c r="T120" s="88">
        <v>954.0</v>
      </c>
      <c r="V120" s="88">
        <v>0.0</v>
      </c>
      <c r="W120" s="88" t="s">
        <v>1010</v>
      </c>
      <c r="X120" s="88">
        <v>24.0</v>
      </c>
      <c r="Z120" s="88">
        <v>0.0</v>
      </c>
      <c r="AA120" s="88" t="s">
        <v>288</v>
      </c>
      <c r="AB120" s="88">
        <v>34.0</v>
      </c>
      <c r="AC120" s="88" t="s">
        <v>1011</v>
      </c>
      <c r="AD120" s="88">
        <v>48.0</v>
      </c>
      <c r="AE120" s="88" t="s">
        <v>270</v>
      </c>
      <c r="AH120" s="87" t="s">
        <v>1006</v>
      </c>
      <c r="AN120" s="88">
        <v>236495.0</v>
      </c>
      <c r="AO120" s="88">
        <v>32946.0</v>
      </c>
      <c r="AP120" s="88">
        <v>32946.0</v>
      </c>
      <c r="AQ120" s="88">
        <v>12.621</v>
      </c>
      <c r="AS120" s="88">
        <v>1453.0</v>
      </c>
      <c r="AT120" s="88">
        <v>235.0</v>
      </c>
      <c r="AU120" s="88">
        <v>6.183</v>
      </c>
      <c r="AV120" s="88">
        <v>55.639</v>
      </c>
      <c r="AW120" s="88" t="s">
        <v>304</v>
      </c>
      <c r="AX120" s="88">
        <v>5.35</v>
      </c>
      <c r="AY120" s="88">
        <v>1.0</v>
      </c>
      <c r="AZ120" s="88">
        <v>1.0</v>
      </c>
      <c r="BB120" s="88">
        <v>363.0</v>
      </c>
      <c r="BC120" s="88">
        <v>180.0</v>
      </c>
      <c r="BD120" s="88">
        <v>0.0</v>
      </c>
      <c r="BE120" s="88">
        <v>99.45</v>
      </c>
      <c r="BF120" s="88">
        <v>108.0</v>
      </c>
      <c r="BG120" s="88">
        <v>41.0</v>
      </c>
      <c r="BH120" s="88">
        <v>0.0</v>
      </c>
      <c r="BI120" s="88">
        <v>12.0</v>
      </c>
      <c r="BJ120" s="88">
        <v>7.0</v>
      </c>
      <c r="BK120" s="88">
        <v>0.0</v>
      </c>
      <c r="BP120" s="88" t="s">
        <v>1012</v>
      </c>
      <c r="BQ120" s="88">
        <v>0.065</v>
      </c>
      <c r="BV120" s="88" t="s">
        <v>273</v>
      </c>
      <c r="BW120" s="88">
        <v>1.1</v>
      </c>
      <c r="BX120" s="88">
        <v>4.0</v>
      </c>
      <c r="BY120" s="88">
        <v>0.0</v>
      </c>
      <c r="BZ120" s="88">
        <v>0.0</v>
      </c>
      <c r="CA120" s="88">
        <v>0.0</v>
      </c>
      <c r="CB120" s="88">
        <v>11.0</v>
      </c>
      <c r="CC120" s="88">
        <v>0.0</v>
      </c>
      <c r="CI120" s="87" t="s">
        <v>1006</v>
      </c>
      <c r="CJ120" s="89">
        <v>46037.65891203703</v>
      </c>
    </row>
    <row r="121">
      <c r="A121" s="87" t="s">
        <v>1013</v>
      </c>
      <c r="F121" s="88"/>
      <c r="G121" s="88" t="s">
        <v>261</v>
      </c>
      <c r="H121" s="88">
        <v>200.0</v>
      </c>
      <c r="I121" s="88" t="s">
        <v>262</v>
      </c>
      <c r="J121" s="88" t="s">
        <v>263</v>
      </c>
      <c r="L121" s="88" t="s">
        <v>1014</v>
      </c>
      <c r="M121" s="88">
        <v>72.0</v>
      </c>
      <c r="N121" s="88">
        <v>661.0</v>
      </c>
      <c r="O121" s="88" t="s">
        <v>1015</v>
      </c>
      <c r="P121" s="88">
        <v>197.0</v>
      </c>
      <c r="Q121" s="88">
        <v>1204.0</v>
      </c>
      <c r="R121" s="88" t="s">
        <v>1016</v>
      </c>
      <c r="S121" s="88">
        <v>136.0</v>
      </c>
      <c r="T121" s="88">
        <v>842.0</v>
      </c>
      <c r="V121" s="88">
        <v>0.0</v>
      </c>
      <c r="W121" s="88" t="s">
        <v>1017</v>
      </c>
      <c r="X121" s="88">
        <v>70.0</v>
      </c>
      <c r="Z121" s="88">
        <v>0.0</v>
      </c>
      <c r="AA121" s="88" t="s">
        <v>287</v>
      </c>
      <c r="AB121" s="88">
        <v>16.0</v>
      </c>
      <c r="AC121" s="88" t="s">
        <v>288</v>
      </c>
      <c r="AD121" s="88">
        <v>34.0</v>
      </c>
      <c r="AE121" s="88" t="s">
        <v>270</v>
      </c>
      <c r="AH121" s="87" t="s">
        <v>1013</v>
      </c>
      <c r="AN121" s="88">
        <v>185064.0</v>
      </c>
      <c r="AO121" s="88">
        <v>33558.0</v>
      </c>
      <c r="AP121" s="88">
        <v>33558.0</v>
      </c>
      <c r="AQ121" s="88">
        <v>12.855</v>
      </c>
      <c r="AS121" s="88">
        <v>2148.0</v>
      </c>
      <c r="AT121" s="88">
        <v>351.0</v>
      </c>
      <c r="AU121" s="88">
        <v>6.12</v>
      </c>
      <c r="AV121" s="88">
        <v>47.572</v>
      </c>
      <c r="AW121" s="88" t="s">
        <v>280</v>
      </c>
      <c r="AX121" s="88">
        <v>9.49</v>
      </c>
      <c r="AY121" s="88">
        <v>5.0</v>
      </c>
      <c r="AZ121" s="88">
        <v>1.0</v>
      </c>
      <c r="BB121" s="88">
        <v>4.0</v>
      </c>
      <c r="BC121" s="88">
        <v>2.0</v>
      </c>
      <c r="BD121" s="88">
        <v>0.0</v>
      </c>
      <c r="BE121" s="88">
        <v>1.1</v>
      </c>
      <c r="BF121" s="88">
        <v>129.0</v>
      </c>
      <c r="BG121" s="88">
        <v>52.0</v>
      </c>
      <c r="BH121" s="88">
        <v>0.0</v>
      </c>
      <c r="BI121" s="88">
        <v>14.0</v>
      </c>
      <c r="BJ121" s="88">
        <v>9.0</v>
      </c>
      <c r="BK121" s="88">
        <v>0.0</v>
      </c>
      <c r="BP121" s="88" t="s">
        <v>1018</v>
      </c>
      <c r="BQ121" s="88">
        <v>0.096</v>
      </c>
      <c r="BV121" s="88" t="s">
        <v>273</v>
      </c>
      <c r="BW121" s="88">
        <v>1.1</v>
      </c>
      <c r="CI121" s="87" t="s">
        <v>1013</v>
      </c>
      <c r="CJ121" s="89">
        <v>46037.65940972222</v>
      </c>
    </row>
    <row r="122">
      <c r="A122" s="87" t="s">
        <v>1019</v>
      </c>
      <c r="D122" s="88">
        <v>5.0</v>
      </c>
      <c r="E122" s="88" t="s">
        <v>328</v>
      </c>
      <c r="F122" s="88"/>
      <c r="G122" s="88" t="s">
        <v>261</v>
      </c>
      <c r="H122" s="88">
        <v>200.0</v>
      </c>
      <c r="I122" s="88" t="s">
        <v>262</v>
      </c>
      <c r="J122" s="88" t="s">
        <v>263</v>
      </c>
      <c r="L122" s="88" t="s">
        <v>1020</v>
      </c>
      <c r="M122" s="88">
        <v>54.0</v>
      </c>
      <c r="N122" s="88">
        <v>513.0</v>
      </c>
      <c r="O122" s="88" t="s">
        <v>1021</v>
      </c>
      <c r="P122" s="88">
        <v>198.0</v>
      </c>
      <c r="Q122" s="88">
        <v>1187.0</v>
      </c>
      <c r="R122" s="88" t="s">
        <v>1022</v>
      </c>
      <c r="S122" s="88">
        <v>195.0</v>
      </c>
      <c r="T122" s="88">
        <v>1189.0</v>
      </c>
      <c r="V122" s="88">
        <v>0.0</v>
      </c>
      <c r="W122" s="88" t="s">
        <v>1023</v>
      </c>
      <c r="X122" s="88">
        <v>29.0</v>
      </c>
      <c r="Z122" s="88">
        <v>0.0</v>
      </c>
      <c r="AA122" s="88" t="s">
        <v>288</v>
      </c>
      <c r="AB122" s="88">
        <v>34.0</v>
      </c>
      <c r="AC122" s="88" t="s">
        <v>1024</v>
      </c>
      <c r="AD122" s="88">
        <v>27.0</v>
      </c>
      <c r="AE122" s="88" t="s">
        <v>270</v>
      </c>
      <c r="AH122" s="87" t="s">
        <v>1019</v>
      </c>
      <c r="AN122" s="88">
        <v>239394.0</v>
      </c>
      <c r="AO122" s="88">
        <v>33574.0</v>
      </c>
      <c r="AP122" s="88">
        <v>33574.0</v>
      </c>
      <c r="AQ122" s="88">
        <v>12.862</v>
      </c>
      <c r="AS122" s="88">
        <v>1501.0</v>
      </c>
      <c r="AT122" s="88">
        <v>235.0</v>
      </c>
      <c r="AU122" s="88">
        <v>6.387</v>
      </c>
      <c r="AV122" s="88">
        <v>49.301</v>
      </c>
      <c r="AW122" s="88" t="s">
        <v>280</v>
      </c>
      <c r="AX122" s="88">
        <v>5.472</v>
      </c>
      <c r="AY122" s="88">
        <v>1.0</v>
      </c>
      <c r="AZ122" s="88">
        <v>1.0</v>
      </c>
      <c r="BB122" s="88">
        <v>593.0</v>
      </c>
      <c r="BC122" s="88">
        <v>180.0</v>
      </c>
      <c r="BD122" s="88">
        <v>0.0</v>
      </c>
      <c r="BE122" s="88">
        <v>99.45</v>
      </c>
      <c r="BF122" s="88">
        <v>108.0</v>
      </c>
      <c r="BG122" s="88">
        <v>41.0</v>
      </c>
      <c r="BH122" s="88">
        <v>0.0</v>
      </c>
      <c r="BI122" s="88">
        <v>12.0</v>
      </c>
      <c r="BJ122" s="88">
        <v>7.0</v>
      </c>
      <c r="BK122" s="88">
        <v>0.0</v>
      </c>
      <c r="BP122" s="88" t="s">
        <v>1025</v>
      </c>
      <c r="BQ122" s="88">
        <v>0.217</v>
      </c>
      <c r="BV122" s="88" t="s">
        <v>273</v>
      </c>
      <c r="BW122" s="88">
        <v>1.1</v>
      </c>
      <c r="BX122" s="88">
        <v>5.0</v>
      </c>
      <c r="BY122" s="88">
        <v>0.0</v>
      </c>
      <c r="BZ122" s="88">
        <v>0.0</v>
      </c>
      <c r="CA122" s="88">
        <v>0.0</v>
      </c>
      <c r="CB122" s="88">
        <v>15.0</v>
      </c>
      <c r="CC122" s="88">
        <v>0.0</v>
      </c>
      <c r="CI122" s="87" t="s">
        <v>1019</v>
      </c>
      <c r="CJ122" s="89">
        <v>46037.65887731482</v>
      </c>
    </row>
    <row r="123">
      <c r="A123" s="87" t="s">
        <v>1026</v>
      </c>
      <c r="B123" s="88" t="s">
        <v>336</v>
      </c>
      <c r="C123" s="88" t="s">
        <v>337</v>
      </c>
      <c r="E123" s="88" t="s">
        <v>260</v>
      </c>
      <c r="F123" s="88"/>
      <c r="G123" s="88" t="s">
        <v>261</v>
      </c>
      <c r="H123" s="88">
        <v>200.0</v>
      </c>
      <c r="I123" s="88" t="s">
        <v>262</v>
      </c>
      <c r="J123" s="88" t="s">
        <v>263</v>
      </c>
      <c r="L123" s="88" t="s">
        <v>1027</v>
      </c>
      <c r="M123" s="88">
        <v>72.0</v>
      </c>
      <c r="N123" s="88">
        <v>672.0</v>
      </c>
      <c r="O123" s="88" t="s">
        <v>1028</v>
      </c>
      <c r="P123" s="88">
        <v>124.0</v>
      </c>
      <c r="Q123" s="88">
        <v>749.0</v>
      </c>
      <c r="R123" s="88" t="s">
        <v>1028</v>
      </c>
      <c r="S123" s="88">
        <v>124.0</v>
      </c>
      <c r="T123" s="88">
        <v>749.0</v>
      </c>
      <c r="V123" s="88">
        <v>0.0</v>
      </c>
      <c r="W123" s="88" t="s">
        <v>1029</v>
      </c>
      <c r="X123" s="88">
        <v>56.0</v>
      </c>
      <c r="Z123" s="88">
        <v>0.0</v>
      </c>
      <c r="AA123" s="88" t="s">
        <v>287</v>
      </c>
      <c r="AB123" s="88">
        <v>16.0</v>
      </c>
      <c r="AC123" s="88" t="s">
        <v>288</v>
      </c>
      <c r="AD123" s="88">
        <v>34.0</v>
      </c>
      <c r="AE123" s="88" t="s">
        <v>270</v>
      </c>
      <c r="AH123" s="87" t="s">
        <v>1026</v>
      </c>
      <c r="AN123" s="88">
        <v>191020.0</v>
      </c>
      <c r="AO123" s="88">
        <v>34922.0</v>
      </c>
      <c r="AP123" s="88">
        <v>34922.0</v>
      </c>
      <c r="AQ123" s="88">
        <v>13.378</v>
      </c>
      <c r="AS123" s="88">
        <v>2429.0</v>
      </c>
      <c r="AT123" s="88">
        <v>377.0</v>
      </c>
      <c r="AU123" s="88">
        <v>6.443</v>
      </c>
      <c r="AV123" s="88">
        <v>32.071</v>
      </c>
      <c r="AW123" s="88" t="s">
        <v>280</v>
      </c>
      <c r="AX123" s="88">
        <v>10.696</v>
      </c>
      <c r="AY123" s="88">
        <v>3.0</v>
      </c>
      <c r="AZ123" s="88">
        <v>1.0</v>
      </c>
      <c r="BB123" s="88">
        <v>5.0</v>
      </c>
      <c r="BC123" s="88">
        <v>3.0</v>
      </c>
      <c r="BD123" s="88">
        <v>0.0</v>
      </c>
      <c r="BE123" s="88">
        <v>1.66</v>
      </c>
      <c r="BF123" s="88">
        <v>129.0</v>
      </c>
      <c r="BG123" s="88">
        <v>52.0</v>
      </c>
      <c r="BH123" s="88">
        <v>0.0</v>
      </c>
      <c r="BI123" s="88">
        <v>25.0</v>
      </c>
      <c r="BJ123" s="88">
        <v>15.0</v>
      </c>
      <c r="BK123" s="88">
        <v>0.0</v>
      </c>
      <c r="BP123" s="88" t="s">
        <v>1030</v>
      </c>
      <c r="BQ123" s="88">
        <v>0.072</v>
      </c>
      <c r="BV123" s="88" t="s">
        <v>273</v>
      </c>
      <c r="BW123" s="88">
        <v>1.1</v>
      </c>
      <c r="CI123" s="87" t="s">
        <v>1026</v>
      </c>
      <c r="CJ123" s="89">
        <v>46037.6590162037</v>
      </c>
    </row>
    <row r="124">
      <c r="A124" s="87" t="s">
        <v>1031</v>
      </c>
      <c r="D124" s="88">
        <v>3.0</v>
      </c>
      <c r="E124" s="88" t="s">
        <v>345</v>
      </c>
      <c r="F124" s="90" t="s">
        <v>321</v>
      </c>
      <c r="G124" s="88" t="s">
        <v>261</v>
      </c>
      <c r="H124" s="88">
        <v>200.0</v>
      </c>
      <c r="I124" s="88" t="s">
        <v>262</v>
      </c>
      <c r="J124" s="88" t="s">
        <v>263</v>
      </c>
      <c r="L124" s="88" t="s">
        <v>1032</v>
      </c>
      <c r="M124" s="88">
        <v>56.0</v>
      </c>
      <c r="N124" s="88">
        <v>501.0</v>
      </c>
      <c r="O124" s="88" t="s">
        <v>1033</v>
      </c>
      <c r="P124" s="88">
        <v>194.0</v>
      </c>
      <c r="Q124" s="88">
        <v>1169.0</v>
      </c>
      <c r="R124" s="88" t="s">
        <v>1033</v>
      </c>
      <c r="S124" s="88">
        <v>194.0</v>
      </c>
      <c r="T124" s="88">
        <v>1169.0</v>
      </c>
      <c r="V124" s="88">
        <v>0.0</v>
      </c>
      <c r="W124" s="88" t="s">
        <v>1034</v>
      </c>
      <c r="X124" s="88">
        <v>40.0</v>
      </c>
      <c r="Z124" s="88">
        <v>0.0</v>
      </c>
      <c r="AA124" s="88" t="s">
        <v>288</v>
      </c>
      <c r="AB124" s="88">
        <v>34.0</v>
      </c>
      <c r="AC124" s="88" t="s">
        <v>1035</v>
      </c>
      <c r="AD124" s="88">
        <v>78.0</v>
      </c>
      <c r="AE124" s="88" t="s">
        <v>270</v>
      </c>
      <c r="AH124" s="87" t="s">
        <v>1031</v>
      </c>
      <c r="AN124" s="88">
        <v>230409.0</v>
      </c>
      <c r="AO124" s="88">
        <v>32909.0</v>
      </c>
      <c r="AP124" s="88">
        <v>32909.0</v>
      </c>
      <c r="AQ124" s="88">
        <v>12.607</v>
      </c>
      <c r="AS124" s="88">
        <v>1502.0</v>
      </c>
      <c r="AT124" s="88">
        <v>236.0</v>
      </c>
      <c r="AU124" s="88">
        <v>6.364</v>
      </c>
      <c r="AV124" s="88">
        <v>48.692</v>
      </c>
      <c r="AW124" s="88" t="s">
        <v>280</v>
      </c>
      <c r="AX124" s="88">
        <v>5.724</v>
      </c>
      <c r="AY124" s="88">
        <v>4.0</v>
      </c>
      <c r="AZ124" s="88">
        <v>1.0</v>
      </c>
      <c r="BB124" s="88">
        <v>2.0</v>
      </c>
      <c r="BC124" s="88">
        <v>2.0</v>
      </c>
      <c r="BD124" s="88">
        <v>0.0</v>
      </c>
      <c r="BE124" s="88">
        <v>1.1</v>
      </c>
      <c r="BF124" s="88">
        <v>108.0</v>
      </c>
      <c r="BG124" s="88">
        <v>42.0</v>
      </c>
      <c r="BH124" s="88">
        <v>0.0</v>
      </c>
      <c r="BI124" s="88">
        <v>12.0</v>
      </c>
      <c r="BJ124" s="88">
        <v>7.0</v>
      </c>
      <c r="BK124" s="88">
        <v>0.0</v>
      </c>
      <c r="BP124" s="88" t="s">
        <v>1036</v>
      </c>
      <c r="BQ124" s="88">
        <v>0.086</v>
      </c>
      <c r="BV124" s="88" t="s">
        <v>273</v>
      </c>
      <c r="BW124" s="88">
        <v>1.1</v>
      </c>
      <c r="BX124" s="88">
        <v>5.0</v>
      </c>
      <c r="BY124" s="88">
        <v>3.0</v>
      </c>
      <c r="BZ124" s="88">
        <v>1.0</v>
      </c>
      <c r="CA124" s="88">
        <v>0.0</v>
      </c>
      <c r="CB124" s="88">
        <v>15.0</v>
      </c>
      <c r="CC124" s="88">
        <v>0.0</v>
      </c>
      <c r="CI124" s="87" t="s">
        <v>1031</v>
      </c>
      <c r="CJ124" s="89">
        <v>46037.65934027778</v>
      </c>
    </row>
    <row r="125">
      <c r="A125" s="87" t="s">
        <v>1037</v>
      </c>
      <c r="B125" s="88" t="s">
        <v>336</v>
      </c>
      <c r="C125" s="88" t="s">
        <v>337</v>
      </c>
      <c r="E125" s="88" t="s">
        <v>260</v>
      </c>
      <c r="F125" s="88"/>
      <c r="G125" s="88" t="s">
        <v>261</v>
      </c>
      <c r="H125" s="88">
        <v>200.0</v>
      </c>
      <c r="I125" s="88" t="s">
        <v>262</v>
      </c>
      <c r="J125" s="88" t="s">
        <v>263</v>
      </c>
      <c r="L125" s="88" t="s">
        <v>1038</v>
      </c>
      <c r="M125" s="88">
        <v>73.0</v>
      </c>
      <c r="N125" s="88">
        <v>659.0</v>
      </c>
      <c r="O125" s="88" t="s">
        <v>1039</v>
      </c>
      <c r="P125" s="88">
        <v>117.0</v>
      </c>
      <c r="Q125" s="88">
        <v>702.0</v>
      </c>
      <c r="R125" s="88" t="s">
        <v>1039</v>
      </c>
      <c r="S125" s="88">
        <v>117.0</v>
      </c>
      <c r="T125" s="88">
        <v>702.0</v>
      </c>
      <c r="V125" s="88">
        <v>0.0</v>
      </c>
      <c r="X125" s="88">
        <v>0.0</v>
      </c>
      <c r="Z125" s="88">
        <v>0.0</v>
      </c>
      <c r="AA125" s="88" t="s">
        <v>1040</v>
      </c>
      <c r="AB125" s="88">
        <v>26.0</v>
      </c>
      <c r="AC125" s="88" t="s">
        <v>1041</v>
      </c>
      <c r="AD125" s="88">
        <v>19.0</v>
      </c>
      <c r="AE125" s="88" t="s">
        <v>270</v>
      </c>
      <c r="AH125" s="87" t="s">
        <v>1037</v>
      </c>
      <c r="AN125" s="88">
        <v>134889.0</v>
      </c>
      <c r="AO125" s="88">
        <v>28790.0</v>
      </c>
      <c r="AP125" s="88">
        <v>28790.0</v>
      </c>
      <c r="AQ125" s="88">
        <v>11.029</v>
      </c>
      <c r="AS125" s="88">
        <v>2189.0</v>
      </c>
      <c r="AT125" s="88">
        <v>336.0</v>
      </c>
      <c r="AU125" s="88">
        <v>6.515</v>
      </c>
      <c r="AV125" s="88">
        <v>35.699</v>
      </c>
      <c r="AW125" s="88" t="s">
        <v>280</v>
      </c>
      <c r="AX125" s="88">
        <v>13.644</v>
      </c>
      <c r="AY125" s="88">
        <v>3.0</v>
      </c>
      <c r="AZ125" s="88">
        <v>1.0</v>
      </c>
      <c r="BB125" s="88">
        <v>6.0</v>
      </c>
      <c r="BC125" s="88">
        <v>4.0</v>
      </c>
      <c r="BD125" s="88">
        <v>0.0</v>
      </c>
      <c r="BE125" s="88">
        <v>2.21</v>
      </c>
      <c r="BF125" s="88">
        <v>96.0</v>
      </c>
      <c r="BG125" s="88">
        <v>47.0</v>
      </c>
      <c r="BH125" s="88">
        <v>0.0</v>
      </c>
      <c r="BI125" s="88">
        <v>15.0</v>
      </c>
      <c r="BJ125" s="88">
        <v>11.0</v>
      </c>
      <c r="BK125" s="88">
        <v>0.0</v>
      </c>
      <c r="BP125" s="88" t="s">
        <v>1042</v>
      </c>
      <c r="BQ125" s="88">
        <v>0.129</v>
      </c>
      <c r="BV125" s="88" t="s">
        <v>273</v>
      </c>
      <c r="BW125" s="88">
        <v>1.1</v>
      </c>
      <c r="CI125" s="87" t="s">
        <v>1037</v>
      </c>
      <c r="CJ125" s="89">
        <v>46037.6590625</v>
      </c>
    </row>
    <row r="126">
      <c r="A126" s="87" t="s">
        <v>1043</v>
      </c>
      <c r="D126" s="88">
        <v>1.0</v>
      </c>
      <c r="E126" s="88" t="s">
        <v>260</v>
      </c>
      <c r="F126" s="88"/>
      <c r="G126" s="88" t="s">
        <v>261</v>
      </c>
      <c r="H126" s="88">
        <v>200.0</v>
      </c>
      <c r="I126" s="88" t="s">
        <v>262</v>
      </c>
      <c r="J126" s="88" t="s">
        <v>263</v>
      </c>
      <c r="L126" s="88" t="s">
        <v>1044</v>
      </c>
      <c r="M126" s="88">
        <v>58.0</v>
      </c>
      <c r="N126" s="88">
        <v>531.0</v>
      </c>
      <c r="O126" s="88" t="s">
        <v>1045</v>
      </c>
      <c r="P126" s="88">
        <v>195.0</v>
      </c>
      <c r="Q126" s="88">
        <v>1206.0</v>
      </c>
      <c r="R126" s="88" t="s">
        <v>1046</v>
      </c>
      <c r="S126" s="88">
        <v>146.0</v>
      </c>
      <c r="T126" s="88">
        <v>925.0</v>
      </c>
      <c r="V126" s="88">
        <v>0.0</v>
      </c>
      <c r="W126" s="88" t="s">
        <v>1047</v>
      </c>
      <c r="X126" s="88">
        <v>37.0</v>
      </c>
      <c r="Z126" s="88">
        <v>0.0</v>
      </c>
      <c r="AA126" s="88" t="s">
        <v>288</v>
      </c>
      <c r="AB126" s="88">
        <v>34.0</v>
      </c>
      <c r="AC126" s="88" t="s">
        <v>1048</v>
      </c>
      <c r="AD126" s="88">
        <v>41.0</v>
      </c>
      <c r="AE126" s="88" t="s">
        <v>270</v>
      </c>
      <c r="AH126" s="87" t="s">
        <v>1043</v>
      </c>
      <c r="AN126" s="88">
        <v>240638.0</v>
      </c>
      <c r="AO126" s="88">
        <v>33549.0</v>
      </c>
      <c r="AP126" s="88">
        <v>33549.0</v>
      </c>
      <c r="AQ126" s="88">
        <v>12.852</v>
      </c>
      <c r="AS126" s="88">
        <v>1542.0</v>
      </c>
      <c r="AT126" s="88">
        <v>247.0</v>
      </c>
      <c r="AU126" s="88">
        <v>6.243</v>
      </c>
      <c r="AV126" s="88">
        <v>46.77</v>
      </c>
      <c r="AW126" s="88" t="s">
        <v>280</v>
      </c>
      <c r="AX126" s="88">
        <v>5.623</v>
      </c>
      <c r="AY126" s="88">
        <v>1.0</v>
      </c>
      <c r="AZ126" s="88">
        <v>1.0</v>
      </c>
      <c r="BB126" s="88">
        <v>594.0</v>
      </c>
      <c r="BC126" s="88">
        <v>180.0</v>
      </c>
      <c r="BD126" s="88">
        <v>0.0</v>
      </c>
      <c r="BE126" s="88">
        <v>99.45</v>
      </c>
      <c r="BF126" s="88">
        <v>108.0</v>
      </c>
      <c r="BG126" s="88">
        <v>41.0</v>
      </c>
      <c r="BH126" s="88">
        <v>0.0</v>
      </c>
      <c r="BI126" s="88">
        <v>12.0</v>
      </c>
      <c r="BJ126" s="88">
        <v>7.0</v>
      </c>
      <c r="BK126" s="88">
        <v>0.0</v>
      </c>
      <c r="BP126" s="88" t="s">
        <v>1049</v>
      </c>
      <c r="BQ126" s="88">
        <v>0.149</v>
      </c>
      <c r="BV126" s="88" t="s">
        <v>273</v>
      </c>
      <c r="BW126" s="88">
        <v>1.1</v>
      </c>
      <c r="BX126" s="88">
        <v>1.0</v>
      </c>
      <c r="BY126" s="88">
        <v>0.0</v>
      </c>
      <c r="BZ126" s="88">
        <v>0.0</v>
      </c>
      <c r="CA126" s="88">
        <v>0.0</v>
      </c>
      <c r="CB126" s="88">
        <v>3.0</v>
      </c>
      <c r="CC126" s="88">
        <v>0.0</v>
      </c>
      <c r="CI126" s="87" t="s">
        <v>1043</v>
      </c>
      <c r="CJ126" s="89">
        <v>46037.65891203703</v>
      </c>
    </row>
    <row r="127">
      <c r="A127" s="87" t="s">
        <v>1050</v>
      </c>
      <c r="F127" s="88"/>
      <c r="G127" s="88" t="s">
        <v>261</v>
      </c>
      <c r="H127" s="88">
        <v>200.0</v>
      </c>
      <c r="I127" s="88" t="s">
        <v>262</v>
      </c>
      <c r="J127" s="88" t="s">
        <v>263</v>
      </c>
      <c r="L127" s="88" t="s">
        <v>1051</v>
      </c>
      <c r="M127" s="88">
        <v>68.0</v>
      </c>
      <c r="N127" s="88">
        <v>654.0</v>
      </c>
      <c r="O127" s="88" t="s">
        <v>1052</v>
      </c>
      <c r="P127" s="88">
        <v>160.0</v>
      </c>
      <c r="Q127" s="88">
        <v>1009.0</v>
      </c>
      <c r="R127" s="88" t="s">
        <v>1053</v>
      </c>
      <c r="S127" s="88">
        <v>116.0</v>
      </c>
      <c r="T127" s="88">
        <v>722.0</v>
      </c>
      <c r="V127" s="88">
        <v>0.0</v>
      </c>
      <c r="W127" s="88" t="s">
        <v>1054</v>
      </c>
      <c r="X127" s="88">
        <v>60.0</v>
      </c>
      <c r="Z127" s="88">
        <v>0.0</v>
      </c>
      <c r="AA127" s="88" t="s">
        <v>287</v>
      </c>
      <c r="AB127" s="88">
        <v>16.0</v>
      </c>
      <c r="AC127" s="88" t="s">
        <v>288</v>
      </c>
      <c r="AD127" s="88">
        <v>34.0</v>
      </c>
      <c r="AE127" s="88" t="s">
        <v>270</v>
      </c>
      <c r="AH127" s="87" t="s">
        <v>1050</v>
      </c>
      <c r="AN127" s="88">
        <v>192378.0</v>
      </c>
      <c r="AO127" s="88">
        <v>35934.0</v>
      </c>
      <c r="AP127" s="88">
        <v>35934.0</v>
      </c>
      <c r="AQ127" s="88">
        <v>13.766</v>
      </c>
      <c r="AS127" s="88">
        <v>3106.0</v>
      </c>
      <c r="AT127" s="88">
        <v>476.0</v>
      </c>
      <c r="AU127" s="88">
        <v>6.525</v>
      </c>
      <c r="AV127" s="88">
        <v>43.242</v>
      </c>
      <c r="AW127" s="88" t="s">
        <v>280</v>
      </c>
      <c r="AX127" s="88">
        <v>12.517</v>
      </c>
      <c r="AY127" s="88">
        <v>5.0</v>
      </c>
      <c r="AZ127" s="88">
        <v>1.0</v>
      </c>
      <c r="BB127" s="88">
        <v>4.0</v>
      </c>
      <c r="BC127" s="88">
        <v>2.0</v>
      </c>
      <c r="BD127" s="88">
        <v>0.0</v>
      </c>
      <c r="BE127" s="88">
        <v>1.1</v>
      </c>
      <c r="BF127" s="88">
        <v>133.0</v>
      </c>
      <c r="BG127" s="88">
        <v>56.0</v>
      </c>
      <c r="BH127" s="88">
        <v>0.0</v>
      </c>
      <c r="BI127" s="88">
        <v>12.0</v>
      </c>
      <c r="BJ127" s="88">
        <v>7.0</v>
      </c>
      <c r="BK127" s="88">
        <v>0.0</v>
      </c>
      <c r="BP127" s="88" t="s">
        <v>1055</v>
      </c>
      <c r="BQ127" s="88">
        <v>0.1</v>
      </c>
      <c r="BV127" s="88" t="s">
        <v>273</v>
      </c>
      <c r="BW127" s="88">
        <v>1.1</v>
      </c>
      <c r="CI127" s="87" t="s">
        <v>1050</v>
      </c>
      <c r="CJ127" s="89">
        <v>46037.65940972222</v>
      </c>
    </row>
    <row r="128">
      <c r="A128" s="87" t="s">
        <v>1056</v>
      </c>
      <c r="D128" s="88">
        <v>6.0</v>
      </c>
      <c r="E128" s="88" t="s">
        <v>260</v>
      </c>
      <c r="F128" s="88"/>
      <c r="G128" s="88" t="s">
        <v>261</v>
      </c>
      <c r="H128" s="88">
        <v>200.0</v>
      </c>
      <c r="I128" s="88" t="s">
        <v>262</v>
      </c>
      <c r="J128" s="88" t="s">
        <v>263</v>
      </c>
      <c r="L128" s="88" t="s">
        <v>1057</v>
      </c>
      <c r="M128" s="88">
        <v>80.0</v>
      </c>
      <c r="N128" s="88">
        <v>724.0</v>
      </c>
      <c r="O128" s="88" t="s">
        <v>1058</v>
      </c>
      <c r="P128" s="88">
        <v>171.0</v>
      </c>
      <c r="Q128" s="88">
        <v>1027.0</v>
      </c>
      <c r="R128" s="88" t="s">
        <v>1058</v>
      </c>
      <c r="S128" s="88">
        <v>171.0</v>
      </c>
      <c r="T128" s="88">
        <v>1027.0</v>
      </c>
      <c r="V128" s="88">
        <v>0.0</v>
      </c>
      <c r="W128" s="88" t="s">
        <v>1059</v>
      </c>
      <c r="X128" s="88">
        <v>37.0</v>
      </c>
      <c r="Z128" s="88">
        <v>0.0</v>
      </c>
      <c r="AA128" s="88" t="s">
        <v>1060</v>
      </c>
      <c r="AB128" s="88">
        <v>43.0</v>
      </c>
      <c r="AC128" s="88" t="s">
        <v>1061</v>
      </c>
      <c r="AD128" s="88">
        <v>39.0</v>
      </c>
      <c r="AE128" s="88" t="s">
        <v>270</v>
      </c>
      <c r="AH128" s="87" t="s">
        <v>1056</v>
      </c>
      <c r="AN128" s="88">
        <v>148969.0</v>
      </c>
      <c r="AO128" s="88">
        <v>24905.0</v>
      </c>
      <c r="AP128" s="88">
        <v>24905.0</v>
      </c>
      <c r="AQ128" s="88">
        <v>9.541</v>
      </c>
      <c r="AS128" s="88">
        <v>591.0</v>
      </c>
      <c r="AT128" s="88">
        <v>103.0</v>
      </c>
      <c r="AU128" s="88">
        <v>5.738</v>
      </c>
      <c r="AV128" s="88">
        <v>39.255</v>
      </c>
      <c r="AW128" s="88" t="s">
        <v>280</v>
      </c>
      <c r="AX128" s="88">
        <v>4.885</v>
      </c>
      <c r="AY128" s="88">
        <v>1.0</v>
      </c>
      <c r="AZ128" s="88">
        <v>1.0</v>
      </c>
      <c r="BB128" s="88">
        <v>541.0</v>
      </c>
      <c r="BC128" s="88">
        <v>180.0</v>
      </c>
      <c r="BD128" s="88">
        <v>0.0</v>
      </c>
      <c r="BE128" s="88">
        <v>99.45</v>
      </c>
      <c r="BF128" s="88">
        <v>110.0</v>
      </c>
      <c r="BG128" s="88">
        <v>41.0</v>
      </c>
      <c r="BH128" s="88">
        <v>0.0</v>
      </c>
      <c r="BI128" s="88">
        <v>2.0</v>
      </c>
      <c r="BJ128" s="88">
        <v>2.0</v>
      </c>
      <c r="BK128" s="88">
        <v>0.0</v>
      </c>
      <c r="BP128" s="88" t="s">
        <v>1062</v>
      </c>
      <c r="BQ128" s="88">
        <v>0.107</v>
      </c>
      <c r="BV128" s="88" t="s">
        <v>273</v>
      </c>
      <c r="BW128" s="88">
        <v>1.1</v>
      </c>
      <c r="BX128" s="88">
        <v>6.0</v>
      </c>
      <c r="BY128" s="88">
        <v>1.0</v>
      </c>
      <c r="BZ128" s="88">
        <v>0.17</v>
      </c>
      <c r="CA128" s="88">
        <v>0.0</v>
      </c>
      <c r="CB128" s="88">
        <v>17.0</v>
      </c>
      <c r="CC128" s="88">
        <v>0.0</v>
      </c>
      <c r="CI128" s="87" t="s">
        <v>1056</v>
      </c>
      <c r="CJ128" s="89">
        <v>46037.65891203703</v>
      </c>
    </row>
    <row r="129">
      <c r="A129" s="87" t="s">
        <v>1063</v>
      </c>
      <c r="B129" s="88" t="s">
        <v>336</v>
      </c>
      <c r="C129" s="88" t="s">
        <v>337</v>
      </c>
      <c r="D129" s="88">
        <v>1.0</v>
      </c>
      <c r="E129" s="88" t="s">
        <v>260</v>
      </c>
      <c r="F129" s="88"/>
      <c r="G129" s="88" t="s">
        <v>261</v>
      </c>
      <c r="H129" s="88">
        <v>200.0</v>
      </c>
      <c r="I129" s="88" t="s">
        <v>262</v>
      </c>
      <c r="J129" s="88" t="s">
        <v>263</v>
      </c>
      <c r="L129" s="88" t="s">
        <v>1064</v>
      </c>
      <c r="M129" s="88">
        <v>68.0</v>
      </c>
      <c r="N129" s="88">
        <v>609.0</v>
      </c>
      <c r="O129" s="88" t="s">
        <v>1065</v>
      </c>
      <c r="P129" s="88">
        <v>189.0</v>
      </c>
      <c r="Q129" s="88">
        <v>1165.0</v>
      </c>
      <c r="R129" s="88" t="s">
        <v>1066</v>
      </c>
      <c r="S129" s="88">
        <v>128.0</v>
      </c>
      <c r="T129" s="88">
        <v>761.0</v>
      </c>
      <c r="V129" s="88">
        <v>0.0</v>
      </c>
      <c r="W129" s="88" t="s">
        <v>1067</v>
      </c>
      <c r="X129" s="88">
        <v>72.0</v>
      </c>
      <c r="Z129" s="88">
        <v>0.0</v>
      </c>
      <c r="AA129" s="88" t="s">
        <v>287</v>
      </c>
      <c r="AB129" s="88">
        <v>16.0</v>
      </c>
      <c r="AC129" s="88" t="s">
        <v>288</v>
      </c>
      <c r="AD129" s="88">
        <v>34.0</v>
      </c>
      <c r="AE129" s="88" t="s">
        <v>270</v>
      </c>
      <c r="AH129" s="87" t="s">
        <v>1063</v>
      </c>
      <c r="AN129" s="88">
        <v>190771.0</v>
      </c>
      <c r="AO129" s="88">
        <v>34392.0</v>
      </c>
      <c r="AP129" s="88">
        <v>34392.0</v>
      </c>
      <c r="AQ129" s="88">
        <v>13.175</v>
      </c>
      <c r="AS129" s="88">
        <v>2449.0</v>
      </c>
      <c r="AT129" s="88">
        <v>394.0</v>
      </c>
      <c r="AU129" s="88">
        <v>6.216</v>
      </c>
      <c r="AV129" s="88">
        <v>36.991</v>
      </c>
      <c r="AW129" s="88" t="s">
        <v>280</v>
      </c>
      <c r="AX129" s="88">
        <v>10.611</v>
      </c>
      <c r="AY129" s="88">
        <v>6.0</v>
      </c>
      <c r="AZ129" s="88">
        <v>1.0</v>
      </c>
      <c r="BB129" s="88">
        <v>4.0</v>
      </c>
      <c r="BC129" s="88">
        <v>2.0</v>
      </c>
      <c r="BD129" s="88">
        <v>0.0</v>
      </c>
      <c r="BE129" s="88">
        <v>1.1</v>
      </c>
      <c r="BF129" s="88">
        <v>131.0</v>
      </c>
      <c r="BG129" s="88">
        <v>53.0</v>
      </c>
      <c r="BH129" s="88">
        <v>0.0</v>
      </c>
      <c r="BI129" s="88">
        <v>25.0</v>
      </c>
      <c r="BJ129" s="88">
        <v>17.0</v>
      </c>
      <c r="BK129" s="88">
        <v>0.0</v>
      </c>
      <c r="BP129" s="88" t="s">
        <v>1068</v>
      </c>
      <c r="BQ129" s="88">
        <v>0.151</v>
      </c>
      <c r="BV129" s="88" t="s">
        <v>273</v>
      </c>
      <c r="BW129" s="88">
        <v>1.1</v>
      </c>
      <c r="BX129" s="88">
        <v>1.0</v>
      </c>
      <c r="BY129" s="88">
        <v>1.0</v>
      </c>
      <c r="BZ129" s="88">
        <v>1.0</v>
      </c>
      <c r="CA129" s="88">
        <v>0.0</v>
      </c>
      <c r="CB129" s="88">
        <v>5.0</v>
      </c>
      <c r="CC129" s="88">
        <v>0.0</v>
      </c>
      <c r="CI129" s="87" t="s">
        <v>1063</v>
      </c>
      <c r="CJ129" s="89">
        <v>46037.65957175926</v>
      </c>
    </row>
    <row r="130">
      <c r="A130" s="87" t="s">
        <v>1069</v>
      </c>
      <c r="D130" s="88">
        <v>4.0</v>
      </c>
      <c r="E130" s="88" t="s">
        <v>1007</v>
      </c>
      <c r="F130" s="88"/>
      <c r="G130" s="88" t="s">
        <v>261</v>
      </c>
      <c r="H130" s="88">
        <v>200.0</v>
      </c>
      <c r="I130" s="88" t="s">
        <v>262</v>
      </c>
      <c r="J130" s="88" t="s">
        <v>263</v>
      </c>
      <c r="L130" s="88" t="s">
        <v>1070</v>
      </c>
      <c r="M130" s="88">
        <v>51.0</v>
      </c>
      <c r="N130" s="88">
        <v>450.0</v>
      </c>
      <c r="O130" s="88" t="s">
        <v>1071</v>
      </c>
      <c r="P130" s="88">
        <v>151.0</v>
      </c>
      <c r="Q130" s="88">
        <v>916.0</v>
      </c>
      <c r="R130" s="88" t="s">
        <v>1071</v>
      </c>
      <c r="S130" s="88">
        <v>151.0</v>
      </c>
      <c r="T130" s="88">
        <v>916.0</v>
      </c>
      <c r="V130" s="88">
        <v>0.0</v>
      </c>
      <c r="W130" s="88" t="s">
        <v>1072</v>
      </c>
      <c r="X130" s="88">
        <v>35.0</v>
      </c>
      <c r="Z130" s="88">
        <v>0.0</v>
      </c>
      <c r="AA130" s="88" t="s">
        <v>288</v>
      </c>
      <c r="AB130" s="88">
        <v>34.0</v>
      </c>
      <c r="AC130" s="88" t="s">
        <v>1073</v>
      </c>
      <c r="AD130" s="88">
        <v>34.0</v>
      </c>
      <c r="AE130" s="88" t="s">
        <v>270</v>
      </c>
      <c r="AH130" s="87" t="s">
        <v>1069</v>
      </c>
      <c r="AN130" s="88">
        <v>239449.0</v>
      </c>
      <c r="AO130" s="88">
        <v>33407.0</v>
      </c>
      <c r="AP130" s="88">
        <v>33407.0</v>
      </c>
      <c r="AQ130" s="88">
        <v>12.798</v>
      </c>
      <c r="AS130" s="88">
        <v>1517.0</v>
      </c>
      <c r="AT130" s="88">
        <v>253.0</v>
      </c>
      <c r="AU130" s="88">
        <v>5.996</v>
      </c>
      <c r="AV130" s="88">
        <v>49.506</v>
      </c>
      <c r="AW130" s="88" t="s">
        <v>280</v>
      </c>
      <c r="AX130" s="88">
        <v>5.553</v>
      </c>
      <c r="AY130" s="88">
        <v>1.0</v>
      </c>
      <c r="AZ130" s="88">
        <v>1.0</v>
      </c>
      <c r="BB130" s="88">
        <v>364.0</v>
      </c>
      <c r="BC130" s="88">
        <v>180.0</v>
      </c>
      <c r="BD130" s="88">
        <v>0.0</v>
      </c>
      <c r="BE130" s="88">
        <v>99.45</v>
      </c>
      <c r="BF130" s="88">
        <v>108.0</v>
      </c>
      <c r="BG130" s="88">
        <v>41.0</v>
      </c>
      <c r="BH130" s="88">
        <v>0.0</v>
      </c>
      <c r="BI130" s="88">
        <v>12.0</v>
      </c>
      <c r="BJ130" s="88">
        <v>7.0</v>
      </c>
      <c r="BK130" s="88">
        <v>0.0</v>
      </c>
      <c r="BP130" s="88" t="s">
        <v>1074</v>
      </c>
      <c r="BQ130" s="88">
        <v>0.278</v>
      </c>
      <c r="BV130" s="88" t="s">
        <v>273</v>
      </c>
      <c r="BW130" s="88">
        <v>1.1</v>
      </c>
      <c r="BX130" s="88">
        <v>4.0</v>
      </c>
      <c r="BY130" s="88">
        <v>0.0</v>
      </c>
      <c r="BZ130" s="88">
        <v>0.0</v>
      </c>
      <c r="CA130" s="88">
        <v>0.0</v>
      </c>
      <c r="CB130" s="88">
        <v>11.0</v>
      </c>
      <c r="CC130" s="88">
        <v>0.0</v>
      </c>
      <c r="CI130" s="87" t="s">
        <v>1069</v>
      </c>
      <c r="CJ130" s="89">
        <v>46037.65888888889</v>
      </c>
    </row>
    <row r="131">
      <c r="A131" s="87" t="s">
        <v>1075</v>
      </c>
      <c r="D131" s="88">
        <v>6.0</v>
      </c>
      <c r="E131" s="88" t="s">
        <v>631</v>
      </c>
      <c r="F131" s="88"/>
      <c r="G131" s="88" t="s">
        <v>261</v>
      </c>
      <c r="H131" s="88">
        <v>200.0</v>
      </c>
      <c r="I131" s="88" t="s">
        <v>262</v>
      </c>
      <c r="J131" s="88" t="s">
        <v>263</v>
      </c>
      <c r="L131" s="88" t="s">
        <v>1076</v>
      </c>
      <c r="M131" s="88">
        <v>55.0</v>
      </c>
      <c r="N131" s="88">
        <v>486.0</v>
      </c>
      <c r="O131" s="88" t="s">
        <v>1077</v>
      </c>
      <c r="P131" s="88">
        <v>188.0</v>
      </c>
      <c r="Q131" s="88">
        <v>1144.0</v>
      </c>
      <c r="S131" s="88">
        <v>0.0</v>
      </c>
      <c r="T131" s="88">
        <v>0.0</v>
      </c>
      <c r="V131" s="88">
        <v>0.0</v>
      </c>
      <c r="W131" s="88" t="s">
        <v>1078</v>
      </c>
      <c r="X131" s="88">
        <v>34.0</v>
      </c>
      <c r="Z131" s="88">
        <v>0.0</v>
      </c>
      <c r="AA131" s="88" t="s">
        <v>288</v>
      </c>
      <c r="AB131" s="88">
        <v>34.0</v>
      </c>
      <c r="AC131" s="88" t="s">
        <v>1079</v>
      </c>
      <c r="AD131" s="88">
        <v>44.0</v>
      </c>
      <c r="AE131" s="88" t="s">
        <v>270</v>
      </c>
      <c r="AH131" s="87" t="s">
        <v>1075</v>
      </c>
      <c r="AN131" s="88">
        <v>240262.0</v>
      </c>
      <c r="AO131" s="88">
        <v>33275.0</v>
      </c>
      <c r="AP131" s="88">
        <v>33275.0</v>
      </c>
      <c r="AQ131" s="88">
        <v>12.747</v>
      </c>
      <c r="AS131" s="88">
        <v>1517.0</v>
      </c>
      <c r="AT131" s="88">
        <v>241.0</v>
      </c>
      <c r="AU131" s="88">
        <v>6.295</v>
      </c>
      <c r="AV131" s="88">
        <v>45.578</v>
      </c>
      <c r="AW131" s="88" t="s">
        <v>280</v>
      </c>
      <c r="AX131" s="88">
        <v>5.595</v>
      </c>
      <c r="AY131" s="88">
        <v>1.0</v>
      </c>
      <c r="AZ131" s="88">
        <v>1.0</v>
      </c>
      <c r="BB131" s="88">
        <v>361.0</v>
      </c>
      <c r="BC131" s="88">
        <v>180.0</v>
      </c>
      <c r="BD131" s="88">
        <v>0.0</v>
      </c>
      <c r="BE131" s="88">
        <v>99.45</v>
      </c>
      <c r="BF131" s="88">
        <v>108.0</v>
      </c>
      <c r="BG131" s="88">
        <v>41.0</v>
      </c>
      <c r="BH131" s="88">
        <v>0.0</v>
      </c>
      <c r="BI131" s="88">
        <v>12.0</v>
      </c>
      <c r="BJ131" s="88">
        <v>7.0</v>
      </c>
      <c r="BK131" s="88">
        <v>0.0</v>
      </c>
      <c r="BP131" s="88" t="s">
        <v>1080</v>
      </c>
      <c r="BQ131" s="88">
        <v>0.288</v>
      </c>
      <c r="BV131" s="88" t="s">
        <v>273</v>
      </c>
      <c r="BW131" s="88">
        <v>1.1</v>
      </c>
      <c r="BX131" s="88">
        <v>13.0</v>
      </c>
      <c r="BY131" s="88">
        <v>2.0</v>
      </c>
      <c r="BZ131" s="88">
        <v>0.33</v>
      </c>
      <c r="CA131" s="88">
        <v>0.0</v>
      </c>
      <c r="CB131" s="88">
        <v>36.0</v>
      </c>
      <c r="CC131" s="88">
        <v>0.0</v>
      </c>
      <c r="CI131" s="87" t="s">
        <v>1075</v>
      </c>
      <c r="CJ131" s="89">
        <v>46037.65888888889</v>
      </c>
    </row>
    <row r="132">
      <c r="A132" s="87" t="s">
        <v>1081</v>
      </c>
      <c r="F132" s="88"/>
      <c r="G132" s="88" t="s">
        <v>261</v>
      </c>
      <c r="H132" s="88">
        <v>200.0</v>
      </c>
      <c r="I132" s="88" t="s">
        <v>262</v>
      </c>
      <c r="J132" s="88" t="s">
        <v>263</v>
      </c>
      <c r="L132" s="88" t="s">
        <v>1082</v>
      </c>
      <c r="M132" s="88">
        <v>69.0</v>
      </c>
      <c r="N132" s="88">
        <v>654.0</v>
      </c>
      <c r="O132" s="88" t="s">
        <v>1083</v>
      </c>
      <c r="P132" s="88">
        <v>171.0</v>
      </c>
      <c r="Q132" s="88">
        <v>1060.0</v>
      </c>
      <c r="R132" s="88" t="s">
        <v>1084</v>
      </c>
      <c r="S132" s="88">
        <v>127.0</v>
      </c>
      <c r="T132" s="88">
        <v>802.0</v>
      </c>
      <c r="V132" s="88">
        <v>0.0</v>
      </c>
      <c r="W132" s="88" t="s">
        <v>1085</v>
      </c>
      <c r="X132" s="88">
        <v>57.0</v>
      </c>
      <c r="Z132" s="88">
        <v>0.0</v>
      </c>
      <c r="AA132" s="88" t="s">
        <v>287</v>
      </c>
      <c r="AB132" s="88">
        <v>16.0</v>
      </c>
      <c r="AC132" s="88" t="s">
        <v>288</v>
      </c>
      <c r="AD132" s="88">
        <v>34.0</v>
      </c>
      <c r="AE132" s="88" t="s">
        <v>270</v>
      </c>
      <c r="AH132" s="87" t="s">
        <v>1081</v>
      </c>
      <c r="AN132" s="88">
        <v>198106.0</v>
      </c>
      <c r="AO132" s="88">
        <v>37999.0</v>
      </c>
      <c r="AP132" s="88">
        <v>37999.0</v>
      </c>
      <c r="AQ132" s="88">
        <v>14.557</v>
      </c>
      <c r="AS132" s="88">
        <v>3870.0</v>
      </c>
      <c r="AT132" s="88">
        <v>569.0</v>
      </c>
      <c r="AU132" s="88">
        <v>6.801</v>
      </c>
      <c r="AV132" s="88">
        <v>49.838</v>
      </c>
      <c r="AW132" s="88" t="s">
        <v>280</v>
      </c>
      <c r="AX132" s="88">
        <v>14.504</v>
      </c>
      <c r="AY132" s="88">
        <v>3.0</v>
      </c>
      <c r="AZ132" s="88">
        <v>1.0</v>
      </c>
      <c r="BB132" s="88">
        <v>4.0</v>
      </c>
      <c r="BC132" s="88">
        <v>2.0</v>
      </c>
      <c r="BD132" s="88">
        <v>0.0</v>
      </c>
      <c r="BE132" s="88">
        <v>1.1</v>
      </c>
      <c r="BF132" s="88">
        <v>129.0</v>
      </c>
      <c r="BG132" s="88">
        <v>52.0</v>
      </c>
      <c r="BH132" s="88">
        <v>0.0</v>
      </c>
      <c r="BI132" s="88">
        <v>22.0</v>
      </c>
      <c r="BJ132" s="88">
        <v>13.0</v>
      </c>
      <c r="BK132" s="88">
        <v>0.0</v>
      </c>
      <c r="BP132" s="88" t="s">
        <v>1086</v>
      </c>
      <c r="BQ132" s="88">
        <v>0.168</v>
      </c>
      <c r="BV132" s="88" t="s">
        <v>273</v>
      </c>
      <c r="BW132" s="88">
        <v>1.1</v>
      </c>
      <c r="CI132" s="87" t="s">
        <v>1081</v>
      </c>
      <c r="CJ132" s="89">
        <v>46037.659004629626</v>
      </c>
    </row>
    <row r="133">
      <c r="A133" s="87" t="s">
        <v>1087</v>
      </c>
      <c r="F133" s="88"/>
      <c r="G133" s="88" t="s">
        <v>261</v>
      </c>
      <c r="H133" s="88">
        <v>200.0</v>
      </c>
      <c r="I133" s="88" t="s">
        <v>262</v>
      </c>
      <c r="J133" s="88" t="s">
        <v>263</v>
      </c>
      <c r="L133" s="88" t="s">
        <v>1088</v>
      </c>
      <c r="M133" s="88">
        <v>72.0</v>
      </c>
      <c r="N133" s="88">
        <v>671.0</v>
      </c>
      <c r="O133" s="88" t="s">
        <v>1089</v>
      </c>
      <c r="P133" s="88">
        <v>152.0</v>
      </c>
      <c r="Q133" s="88">
        <v>938.0</v>
      </c>
      <c r="R133" s="88" t="s">
        <v>1090</v>
      </c>
      <c r="S133" s="88">
        <v>120.0</v>
      </c>
      <c r="T133" s="88">
        <v>733.0</v>
      </c>
      <c r="V133" s="88">
        <v>0.0</v>
      </c>
      <c r="W133" s="88" t="s">
        <v>1091</v>
      </c>
      <c r="X133" s="88">
        <v>62.0</v>
      </c>
      <c r="Z133" s="88">
        <v>0.0</v>
      </c>
      <c r="AA133" s="88" t="s">
        <v>287</v>
      </c>
      <c r="AB133" s="88">
        <v>16.0</v>
      </c>
      <c r="AC133" s="88" t="s">
        <v>288</v>
      </c>
      <c r="AD133" s="88">
        <v>34.0</v>
      </c>
      <c r="AE133" s="88" t="s">
        <v>270</v>
      </c>
      <c r="AH133" s="87" t="s">
        <v>1087</v>
      </c>
      <c r="AN133" s="88">
        <v>192595.0</v>
      </c>
      <c r="AO133" s="88">
        <v>36170.0</v>
      </c>
      <c r="AP133" s="88">
        <v>36170.0</v>
      </c>
      <c r="AQ133" s="88">
        <v>13.856</v>
      </c>
      <c r="AS133" s="88">
        <v>3113.0</v>
      </c>
      <c r="AT133" s="88">
        <v>455.0</v>
      </c>
      <c r="AU133" s="88">
        <v>6.842</v>
      </c>
      <c r="AV133" s="88">
        <v>41.996</v>
      </c>
      <c r="AW133" s="88" t="s">
        <v>280</v>
      </c>
      <c r="AX133" s="88">
        <v>12.495</v>
      </c>
      <c r="AY133" s="88">
        <v>3.0</v>
      </c>
      <c r="AZ133" s="88">
        <v>1.0</v>
      </c>
      <c r="BB133" s="88">
        <v>4.0</v>
      </c>
      <c r="BC133" s="88">
        <v>2.0</v>
      </c>
      <c r="BD133" s="88">
        <v>0.0</v>
      </c>
      <c r="BE133" s="88">
        <v>1.1</v>
      </c>
      <c r="BF133" s="88">
        <v>132.0</v>
      </c>
      <c r="BG133" s="88">
        <v>55.0</v>
      </c>
      <c r="BH133" s="88">
        <v>0.0</v>
      </c>
      <c r="BI133" s="88">
        <v>15.0</v>
      </c>
      <c r="BJ133" s="88">
        <v>10.0</v>
      </c>
      <c r="BK133" s="88">
        <v>0.0</v>
      </c>
      <c r="BP133" s="88" t="s">
        <v>1092</v>
      </c>
      <c r="BQ133" s="88">
        <v>0.109</v>
      </c>
      <c r="BV133" s="88" t="s">
        <v>273</v>
      </c>
      <c r="BW133" s="88">
        <v>1.1</v>
      </c>
      <c r="CI133" s="87" t="s">
        <v>1087</v>
      </c>
      <c r="CJ133" s="89">
        <v>46037.6590625</v>
      </c>
    </row>
    <row r="134">
      <c r="A134" s="87" t="s">
        <v>1093</v>
      </c>
      <c r="F134" s="88"/>
      <c r="G134" s="88" t="s">
        <v>261</v>
      </c>
      <c r="H134" s="88">
        <v>200.0</v>
      </c>
      <c r="I134" s="88" t="s">
        <v>262</v>
      </c>
      <c r="J134" s="88" t="s">
        <v>263</v>
      </c>
      <c r="L134" s="88" t="s">
        <v>1094</v>
      </c>
      <c r="M134" s="88">
        <v>68.0</v>
      </c>
      <c r="N134" s="88">
        <v>630.0</v>
      </c>
      <c r="O134" s="88" t="s">
        <v>1095</v>
      </c>
      <c r="P134" s="88">
        <v>167.0</v>
      </c>
      <c r="Q134" s="88">
        <v>1022.0</v>
      </c>
      <c r="R134" s="88" t="s">
        <v>1096</v>
      </c>
      <c r="S134" s="88">
        <v>106.0</v>
      </c>
      <c r="T134" s="88">
        <v>647.0</v>
      </c>
      <c r="V134" s="88">
        <v>0.0</v>
      </c>
      <c r="W134" s="88" t="s">
        <v>1097</v>
      </c>
      <c r="X134" s="88">
        <v>59.0</v>
      </c>
      <c r="Z134" s="88">
        <v>0.0</v>
      </c>
      <c r="AA134" s="88" t="s">
        <v>287</v>
      </c>
      <c r="AB134" s="88">
        <v>16.0</v>
      </c>
      <c r="AC134" s="88" t="s">
        <v>288</v>
      </c>
      <c r="AD134" s="88">
        <v>34.0</v>
      </c>
      <c r="AE134" s="88" t="s">
        <v>270</v>
      </c>
      <c r="AH134" s="87" t="s">
        <v>1093</v>
      </c>
      <c r="AN134" s="88">
        <v>192542.0</v>
      </c>
      <c r="AO134" s="88">
        <v>36054.0</v>
      </c>
      <c r="AP134" s="88">
        <v>36054.0</v>
      </c>
      <c r="AQ134" s="88">
        <v>13.812</v>
      </c>
      <c r="AS134" s="88">
        <v>2931.0</v>
      </c>
      <c r="AT134" s="88">
        <v>466.0</v>
      </c>
      <c r="AU134" s="88">
        <v>6.29</v>
      </c>
      <c r="AV134" s="88">
        <v>46.0</v>
      </c>
      <c r="AW134" s="88" t="s">
        <v>280</v>
      </c>
      <c r="AX134" s="88">
        <v>11.812</v>
      </c>
      <c r="AY134" s="88">
        <v>4.0</v>
      </c>
      <c r="AZ134" s="88">
        <v>1.0</v>
      </c>
      <c r="BB134" s="88">
        <v>4.0</v>
      </c>
      <c r="BC134" s="88">
        <v>2.0</v>
      </c>
      <c r="BD134" s="88">
        <v>0.0</v>
      </c>
      <c r="BE134" s="88">
        <v>1.1</v>
      </c>
      <c r="BF134" s="88">
        <v>135.0</v>
      </c>
      <c r="BG134" s="88">
        <v>58.0</v>
      </c>
      <c r="BH134" s="88">
        <v>0.0</v>
      </c>
      <c r="BI134" s="88">
        <v>16.0</v>
      </c>
      <c r="BJ134" s="88">
        <v>10.0</v>
      </c>
      <c r="BK134" s="88">
        <v>0.0</v>
      </c>
      <c r="BP134" s="88" t="s">
        <v>1098</v>
      </c>
      <c r="BQ134" s="88">
        <v>0.09</v>
      </c>
      <c r="BV134" s="88" t="s">
        <v>273</v>
      </c>
      <c r="BW134" s="88">
        <v>1.1</v>
      </c>
      <c r="CI134" s="87" t="s">
        <v>1093</v>
      </c>
      <c r="CJ134" s="89">
        <v>46037.659212962964</v>
      </c>
    </row>
    <row r="135">
      <c r="A135" s="87" t="s">
        <v>1099</v>
      </c>
      <c r="B135" s="88" t="s">
        <v>336</v>
      </c>
      <c r="C135" s="88" t="s">
        <v>337</v>
      </c>
      <c r="E135" s="88" t="s">
        <v>345</v>
      </c>
      <c r="F135" s="90" t="s">
        <v>579</v>
      </c>
      <c r="G135" s="88" t="s">
        <v>261</v>
      </c>
      <c r="H135" s="88">
        <v>200.0</v>
      </c>
      <c r="I135" s="88" t="s">
        <v>262</v>
      </c>
      <c r="J135" s="88" t="s">
        <v>263</v>
      </c>
      <c r="L135" s="88" t="s">
        <v>1100</v>
      </c>
      <c r="M135" s="88">
        <v>53.0</v>
      </c>
      <c r="N135" s="88">
        <v>488.0</v>
      </c>
      <c r="O135" s="88" t="s">
        <v>1101</v>
      </c>
      <c r="P135" s="88">
        <v>157.0</v>
      </c>
      <c r="Q135" s="88">
        <v>967.0</v>
      </c>
      <c r="R135" s="88" t="s">
        <v>1102</v>
      </c>
      <c r="S135" s="88">
        <v>111.0</v>
      </c>
      <c r="T135" s="88">
        <v>680.0</v>
      </c>
      <c r="V135" s="88">
        <v>0.0</v>
      </c>
      <c r="W135" s="88" t="s">
        <v>1103</v>
      </c>
      <c r="X135" s="88">
        <v>53.0</v>
      </c>
      <c r="Z135" s="88">
        <v>0.0</v>
      </c>
      <c r="AA135" s="88" t="s">
        <v>287</v>
      </c>
      <c r="AB135" s="88">
        <v>16.0</v>
      </c>
      <c r="AC135" s="88" t="s">
        <v>288</v>
      </c>
      <c r="AD135" s="88">
        <v>34.0</v>
      </c>
      <c r="AE135" s="88" t="s">
        <v>270</v>
      </c>
      <c r="AH135" s="87" t="s">
        <v>1099</v>
      </c>
      <c r="AN135" s="88">
        <v>189610.0</v>
      </c>
      <c r="AO135" s="88">
        <v>34154.0</v>
      </c>
      <c r="AP135" s="88">
        <v>34154.0</v>
      </c>
      <c r="AQ135" s="88">
        <v>13.084</v>
      </c>
      <c r="AS135" s="88">
        <v>2383.0</v>
      </c>
      <c r="AT135" s="88">
        <v>384.0</v>
      </c>
      <c r="AU135" s="88">
        <v>6.206</v>
      </c>
      <c r="AV135" s="88">
        <v>36.235</v>
      </c>
      <c r="AW135" s="88" t="s">
        <v>280</v>
      </c>
      <c r="AX135" s="88">
        <v>10.453</v>
      </c>
      <c r="AY135" s="88">
        <v>6.0</v>
      </c>
      <c r="AZ135" s="88">
        <v>1.0</v>
      </c>
      <c r="BB135" s="88">
        <v>4.0</v>
      </c>
      <c r="BC135" s="88">
        <v>2.0</v>
      </c>
      <c r="BD135" s="88">
        <v>0.0</v>
      </c>
      <c r="BE135" s="88">
        <v>1.1</v>
      </c>
      <c r="BF135" s="88">
        <v>131.0</v>
      </c>
      <c r="BG135" s="88">
        <v>54.0</v>
      </c>
      <c r="BH135" s="88">
        <v>0.0</v>
      </c>
      <c r="BI135" s="88">
        <v>25.0</v>
      </c>
      <c r="BJ135" s="88">
        <v>14.0</v>
      </c>
      <c r="BK135" s="88">
        <v>0.0</v>
      </c>
      <c r="BP135" s="88" t="s">
        <v>1104</v>
      </c>
      <c r="BQ135" s="88">
        <v>0.19</v>
      </c>
      <c r="BV135" s="88" t="s">
        <v>273</v>
      </c>
      <c r="BW135" s="88">
        <v>1.1</v>
      </c>
      <c r="CI135" s="87" t="s">
        <v>1099</v>
      </c>
      <c r="CJ135" s="89">
        <v>46037.65969907407</v>
      </c>
    </row>
    <row r="136">
      <c r="A136" s="87" t="s">
        <v>1105</v>
      </c>
      <c r="F136" s="88"/>
      <c r="G136" s="88" t="s">
        <v>261</v>
      </c>
      <c r="H136" s="88">
        <v>200.0</v>
      </c>
      <c r="I136" s="88" t="s">
        <v>262</v>
      </c>
      <c r="J136" s="88" t="s">
        <v>263</v>
      </c>
      <c r="L136" s="88" t="s">
        <v>1106</v>
      </c>
      <c r="M136" s="88">
        <v>77.0</v>
      </c>
      <c r="N136" s="88">
        <v>743.0</v>
      </c>
      <c r="O136" s="88" t="s">
        <v>1107</v>
      </c>
      <c r="P136" s="88">
        <v>181.0</v>
      </c>
      <c r="Q136" s="88">
        <v>1146.0</v>
      </c>
      <c r="R136" s="88" t="s">
        <v>1108</v>
      </c>
      <c r="S136" s="88">
        <v>100.0</v>
      </c>
      <c r="T136" s="88">
        <v>631.0</v>
      </c>
      <c r="V136" s="88">
        <v>0.0</v>
      </c>
      <c r="W136" s="88" t="s">
        <v>1109</v>
      </c>
      <c r="X136" s="88">
        <v>67.0</v>
      </c>
      <c r="Z136" s="88">
        <v>0.0</v>
      </c>
      <c r="AA136" s="88" t="s">
        <v>287</v>
      </c>
      <c r="AB136" s="88">
        <v>16.0</v>
      </c>
      <c r="AC136" s="88" t="s">
        <v>288</v>
      </c>
      <c r="AD136" s="88">
        <v>34.0</v>
      </c>
      <c r="AE136" s="88" t="s">
        <v>270</v>
      </c>
      <c r="AH136" s="87" t="s">
        <v>1105</v>
      </c>
      <c r="AN136" s="88">
        <v>193880.0</v>
      </c>
      <c r="AO136" s="88">
        <v>36777.0</v>
      </c>
      <c r="AP136" s="88">
        <v>36777.0</v>
      </c>
      <c r="AQ136" s="88">
        <v>14.089</v>
      </c>
      <c r="AS136" s="88">
        <v>3395.0</v>
      </c>
      <c r="AT136" s="88">
        <v>486.0</v>
      </c>
      <c r="AU136" s="88">
        <v>6.986</v>
      </c>
      <c r="AV136" s="88">
        <v>48.162</v>
      </c>
      <c r="AW136" s="88" t="s">
        <v>280</v>
      </c>
      <c r="AX136" s="88">
        <v>13.145</v>
      </c>
      <c r="AY136" s="88">
        <v>4.0</v>
      </c>
      <c r="AZ136" s="88">
        <v>1.0</v>
      </c>
      <c r="BB136" s="88">
        <v>4.0</v>
      </c>
      <c r="BC136" s="88">
        <v>2.0</v>
      </c>
      <c r="BD136" s="88">
        <v>0.0</v>
      </c>
      <c r="BE136" s="88">
        <v>1.1</v>
      </c>
      <c r="BF136" s="88">
        <v>131.0</v>
      </c>
      <c r="BG136" s="88">
        <v>54.0</v>
      </c>
      <c r="BH136" s="88">
        <v>0.0</v>
      </c>
      <c r="BI136" s="88">
        <v>16.0</v>
      </c>
      <c r="BJ136" s="88">
        <v>11.0</v>
      </c>
      <c r="BK136" s="88">
        <v>0.0</v>
      </c>
      <c r="BP136" s="88" t="s">
        <v>1110</v>
      </c>
      <c r="BQ136" s="88">
        <v>0.109</v>
      </c>
      <c r="BV136" s="88" t="s">
        <v>273</v>
      </c>
      <c r="BW136" s="88">
        <v>1.1</v>
      </c>
      <c r="CI136" s="87" t="s">
        <v>1105</v>
      </c>
      <c r="CJ136" s="89">
        <v>46037.659212962964</v>
      </c>
    </row>
    <row r="137">
      <c r="A137" s="87" t="s">
        <v>1111</v>
      </c>
      <c r="D137" s="88">
        <v>1.0</v>
      </c>
      <c r="E137" s="88" t="s">
        <v>260</v>
      </c>
      <c r="F137" s="88"/>
      <c r="G137" s="88" t="s">
        <v>261</v>
      </c>
      <c r="H137" s="88">
        <v>200.0</v>
      </c>
      <c r="I137" s="88" t="s">
        <v>262</v>
      </c>
      <c r="J137" s="88" t="s">
        <v>263</v>
      </c>
      <c r="L137" s="88" t="s">
        <v>1112</v>
      </c>
      <c r="M137" s="88">
        <v>66.0</v>
      </c>
      <c r="N137" s="88">
        <v>619.0</v>
      </c>
      <c r="O137" s="88" t="s">
        <v>1113</v>
      </c>
      <c r="P137" s="88">
        <v>154.0</v>
      </c>
      <c r="Q137" s="88">
        <v>953.0</v>
      </c>
      <c r="R137" s="88" t="s">
        <v>1114</v>
      </c>
      <c r="S137" s="88">
        <v>139.0</v>
      </c>
      <c r="T137" s="88">
        <v>878.0</v>
      </c>
      <c r="V137" s="88">
        <v>0.0</v>
      </c>
      <c r="W137" s="88" t="s">
        <v>1115</v>
      </c>
      <c r="X137" s="88">
        <v>60.0</v>
      </c>
      <c r="Z137" s="88">
        <v>0.0</v>
      </c>
      <c r="AA137" s="88" t="s">
        <v>287</v>
      </c>
      <c r="AB137" s="88">
        <v>16.0</v>
      </c>
      <c r="AC137" s="88" t="s">
        <v>288</v>
      </c>
      <c r="AD137" s="88">
        <v>34.0</v>
      </c>
      <c r="AE137" s="88" t="s">
        <v>270</v>
      </c>
      <c r="AH137" s="87" t="s">
        <v>1111</v>
      </c>
      <c r="AN137" s="88">
        <v>194889.0</v>
      </c>
      <c r="AO137" s="88">
        <v>36948.0</v>
      </c>
      <c r="AP137" s="88">
        <v>36948.0</v>
      </c>
      <c r="AQ137" s="88">
        <v>14.154</v>
      </c>
      <c r="AS137" s="88">
        <v>3399.0</v>
      </c>
      <c r="AT137" s="88">
        <v>524.0</v>
      </c>
      <c r="AU137" s="88">
        <v>6.487</v>
      </c>
      <c r="AV137" s="88">
        <v>46.333</v>
      </c>
      <c r="AW137" s="88" t="s">
        <v>280</v>
      </c>
      <c r="AX137" s="88">
        <v>13.224</v>
      </c>
      <c r="AY137" s="88">
        <v>4.0</v>
      </c>
      <c r="AZ137" s="88">
        <v>1.0</v>
      </c>
      <c r="BB137" s="88">
        <v>4.0</v>
      </c>
      <c r="BC137" s="88">
        <v>2.0</v>
      </c>
      <c r="BD137" s="88">
        <v>0.0</v>
      </c>
      <c r="BE137" s="88">
        <v>1.1</v>
      </c>
      <c r="BF137" s="88">
        <v>131.0</v>
      </c>
      <c r="BG137" s="88">
        <v>54.0</v>
      </c>
      <c r="BH137" s="88">
        <v>0.0</v>
      </c>
      <c r="BI137" s="88">
        <v>18.0</v>
      </c>
      <c r="BJ137" s="88">
        <v>13.0</v>
      </c>
      <c r="BK137" s="88">
        <v>0.0</v>
      </c>
      <c r="BP137" s="88" t="s">
        <v>1116</v>
      </c>
      <c r="BQ137" s="88">
        <v>0.139</v>
      </c>
      <c r="BV137" s="88" t="s">
        <v>273</v>
      </c>
      <c r="BW137" s="88">
        <v>1.1</v>
      </c>
      <c r="BX137" s="88">
        <v>1.0</v>
      </c>
      <c r="BY137" s="88">
        <v>0.0</v>
      </c>
      <c r="BZ137" s="88">
        <v>0.0</v>
      </c>
      <c r="CA137" s="88">
        <v>0.0</v>
      </c>
      <c r="CB137" s="88">
        <v>3.0</v>
      </c>
      <c r="CC137" s="88">
        <v>0.0</v>
      </c>
      <c r="CI137" s="87" t="s">
        <v>1111</v>
      </c>
      <c r="CJ137" s="89">
        <v>46037.65923611111</v>
      </c>
    </row>
    <row r="138">
      <c r="A138" s="87" t="s">
        <v>1117</v>
      </c>
      <c r="D138" s="88">
        <v>4.0</v>
      </c>
      <c r="E138" s="88" t="s">
        <v>345</v>
      </c>
      <c r="F138" s="87" t="s">
        <v>740</v>
      </c>
      <c r="G138" s="88" t="s">
        <v>261</v>
      </c>
      <c r="H138" s="88">
        <v>200.0</v>
      </c>
      <c r="I138" s="88" t="s">
        <v>262</v>
      </c>
      <c r="J138" s="88" t="s">
        <v>263</v>
      </c>
      <c r="L138" s="88" t="s">
        <v>1118</v>
      </c>
      <c r="M138" s="88">
        <v>75.0</v>
      </c>
      <c r="N138" s="88">
        <v>671.0</v>
      </c>
      <c r="O138" s="88" t="s">
        <v>1119</v>
      </c>
      <c r="P138" s="88">
        <v>178.0</v>
      </c>
      <c r="Q138" s="88">
        <v>1076.0</v>
      </c>
      <c r="S138" s="88">
        <v>0.0</v>
      </c>
      <c r="T138" s="88">
        <v>0.0</v>
      </c>
      <c r="V138" s="88">
        <v>0.0</v>
      </c>
      <c r="W138" s="88" t="s">
        <v>1120</v>
      </c>
      <c r="X138" s="88">
        <v>68.0</v>
      </c>
      <c r="Z138" s="88">
        <v>0.0</v>
      </c>
      <c r="AA138" s="88" t="s">
        <v>287</v>
      </c>
      <c r="AB138" s="88">
        <v>16.0</v>
      </c>
      <c r="AC138" s="88" t="s">
        <v>288</v>
      </c>
      <c r="AD138" s="88">
        <v>34.0</v>
      </c>
      <c r="AE138" s="88" t="s">
        <v>270</v>
      </c>
      <c r="AH138" s="87" t="s">
        <v>1117</v>
      </c>
      <c r="AN138" s="88">
        <v>188482.0</v>
      </c>
      <c r="AO138" s="88">
        <v>34496.0</v>
      </c>
      <c r="AP138" s="88">
        <v>34496.0</v>
      </c>
      <c r="AQ138" s="88">
        <v>13.215</v>
      </c>
      <c r="AS138" s="88">
        <v>2419.0</v>
      </c>
      <c r="AT138" s="88">
        <v>412.0</v>
      </c>
      <c r="AU138" s="88">
        <v>5.871</v>
      </c>
      <c r="AV138" s="88">
        <v>37.061</v>
      </c>
      <c r="AW138" s="88" t="s">
        <v>280</v>
      </c>
      <c r="AX138" s="88">
        <v>10.913</v>
      </c>
      <c r="AY138" s="88">
        <v>3.0</v>
      </c>
      <c r="AZ138" s="88">
        <v>1.0</v>
      </c>
      <c r="BB138" s="88">
        <v>4.0</v>
      </c>
      <c r="BC138" s="88">
        <v>3.0</v>
      </c>
      <c r="BD138" s="88">
        <v>0.0</v>
      </c>
      <c r="BE138" s="88">
        <v>1.66</v>
      </c>
      <c r="BF138" s="88">
        <v>131.0</v>
      </c>
      <c r="BG138" s="88">
        <v>49.0</v>
      </c>
      <c r="BH138" s="88">
        <v>0.0</v>
      </c>
      <c r="BI138" s="88">
        <v>14.0</v>
      </c>
      <c r="BJ138" s="88">
        <v>9.0</v>
      </c>
      <c r="BK138" s="88">
        <v>0.0</v>
      </c>
      <c r="BP138" s="88" t="s">
        <v>1121</v>
      </c>
      <c r="BQ138" s="88">
        <v>0.143</v>
      </c>
      <c r="BV138" s="88" t="s">
        <v>273</v>
      </c>
      <c r="BW138" s="88">
        <v>1.1</v>
      </c>
      <c r="BX138" s="88">
        <v>4.0</v>
      </c>
      <c r="BY138" s="88">
        <v>1.0</v>
      </c>
      <c r="BZ138" s="88">
        <v>0.25</v>
      </c>
      <c r="CA138" s="88">
        <v>0.0</v>
      </c>
      <c r="CB138" s="88">
        <v>13.0</v>
      </c>
      <c r="CC138" s="88">
        <v>0.0</v>
      </c>
      <c r="CI138" s="87" t="s">
        <v>1117</v>
      </c>
      <c r="CJ138" s="89">
        <v>46037.659004629626</v>
      </c>
    </row>
    <row r="139">
      <c r="A139" s="87" t="s">
        <v>1122</v>
      </c>
      <c r="B139" s="88" t="s">
        <v>336</v>
      </c>
      <c r="C139" s="88" t="s">
        <v>337</v>
      </c>
      <c r="E139" s="88" t="s">
        <v>345</v>
      </c>
      <c r="F139" s="87" t="s">
        <v>740</v>
      </c>
      <c r="G139" s="88" t="s">
        <v>261</v>
      </c>
      <c r="H139" s="88">
        <v>200.0</v>
      </c>
      <c r="I139" s="88" t="s">
        <v>262</v>
      </c>
      <c r="J139" s="88" t="s">
        <v>263</v>
      </c>
      <c r="L139" s="88" t="s">
        <v>1123</v>
      </c>
      <c r="M139" s="88">
        <v>70.0</v>
      </c>
      <c r="N139" s="88">
        <v>624.0</v>
      </c>
      <c r="O139" s="88" t="s">
        <v>1124</v>
      </c>
      <c r="P139" s="88">
        <v>149.0</v>
      </c>
      <c r="Q139" s="88">
        <v>914.0</v>
      </c>
      <c r="S139" s="88">
        <v>0.0</v>
      </c>
      <c r="T139" s="88">
        <v>0.0</v>
      </c>
      <c r="V139" s="88">
        <v>0.0</v>
      </c>
      <c r="W139" s="88" t="s">
        <v>1125</v>
      </c>
      <c r="X139" s="88">
        <v>68.0</v>
      </c>
      <c r="Z139" s="88">
        <v>0.0</v>
      </c>
      <c r="AA139" s="88" t="s">
        <v>287</v>
      </c>
      <c r="AB139" s="88">
        <v>16.0</v>
      </c>
      <c r="AC139" s="88" t="s">
        <v>288</v>
      </c>
      <c r="AD139" s="88">
        <v>34.0</v>
      </c>
      <c r="AE139" s="88" t="s">
        <v>270</v>
      </c>
      <c r="AH139" s="87" t="s">
        <v>1122</v>
      </c>
      <c r="AN139" s="88">
        <v>185623.0</v>
      </c>
      <c r="AO139" s="88">
        <v>33003.0</v>
      </c>
      <c r="AP139" s="88">
        <v>33003.0</v>
      </c>
      <c r="AQ139" s="88">
        <v>12.643</v>
      </c>
      <c r="AS139" s="88">
        <v>1958.0</v>
      </c>
      <c r="AT139" s="88">
        <v>331.0</v>
      </c>
      <c r="AU139" s="88">
        <v>5.915</v>
      </c>
      <c r="AV139" s="88">
        <v>40.877</v>
      </c>
      <c r="AW139" s="88" t="s">
        <v>280</v>
      </c>
      <c r="AX139" s="88">
        <v>8.911</v>
      </c>
      <c r="AY139" s="88">
        <v>3.0</v>
      </c>
      <c r="AZ139" s="88">
        <v>1.0</v>
      </c>
      <c r="BB139" s="88">
        <v>7.0</v>
      </c>
      <c r="BC139" s="88">
        <v>4.0</v>
      </c>
      <c r="BD139" s="88">
        <v>0.0</v>
      </c>
      <c r="BE139" s="88">
        <v>2.21</v>
      </c>
      <c r="BF139" s="88">
        <v>129.0</v>
      </c>
      <c r="BG139" s="88">
        <v>49.0</v>
      </c>
      <c r="BH139" s="88">
        <v>0.0</v>
      </c>
      <c r="BI139" s="88">
        <v>12.0</v>
      </c>
      <c r="BJ139" s="88">
        <v>7.0</v>
      </c>
      <c r="BK139" s="88">
        <v>0.0</v>
      </c>
      <c r="BP139" s="88" t="s">
        <v>1126</v>
      </c>
      <c r="BQ139" s="88">
        <v>0.098</v>
      </c>
      <c r="BV139" s="88" t="s">
        <v>273</v>
      </c>
      <c r="BW139" s="88">
        <v>1.1</v>
      </c>
      <c r="CI139" s="87" t="s">
        <v>1122</v>
      </c>
      <c r="CJ139" s="89">
        <v>46037.65903935185</v>
      </c>
    </row>
    <row r="140">
      <c r="A140" s="87" t="s">
        <v>740</v>
      </c>
      <c r="C140" s="88" t="s">
        <v>423</v>
      </c>
      <c r="D140" s="88">
        <v>17.0</v>
      </c>
      <c r="E140" s="88" t="s">
        <v>1127</v>
      </c>
      <c r="F140" s="88"/>
      <c r="G140" s="88" t="s">
        <v>261</v>
      </c>
      <c r="H140" s="88">
        <v>200.0</v>
      </c>
      <c r="I140" s="88" t="s">
        <v>262</v>
      </c>
      <c r="J140" s="88" t="s">
        <v>263</v>
      </c>
      <c r="L140" s="88" t="s">
        <v>1128</v>
      </c>
      <c r="M140" s="88">
        <v>67.0</v>
      </c>
      <c r="N140" s="88">
        <v>580.0</v>
      </c>
      <c r="O140" s="88" t="s">
        <v>1129</v>
      </c>
      <c r="P140" s="88">
        <v>153.0</v>
      </c>
      <c r="Q140" s="88">
        <v>898.0</v>
      </c>
      <c r="R140" s="88" t="s">
        <v>1130</v>
      </c>
      <c r="S140" s="88">
        <v>174.0</v>
      </c>
      <c r="T140" s="88">
        <v>1073.0</v>
      </c>
      <c r="V140" s="88">
        <v>0.0</v>
      </c>
      <c r="W140" s="88" t="s">
        <v>1131</v>
      </c>
      <c r="X140" s="88">
        <v>35.0</v>
      </c>
      <c r="Z140" s="88">
        <v>0.0</v>
      </c>
      <c r="AA140" s="88" t="s">
        <v>1132</v>
      </c>
      <c r="AB140" s="88">
        <v>45.0</v>
      </c>
      <c r="AC140" s="88" t="s">
        <v>1133</v>
      </c>
      <c r="AD140" s="88">
        <v>35.0</v>
      </c>
      <c r="AE140" s="88" t="s">
        <v>270</v>
      </c>
      <c r="AH140" s="87" t="s">
        <v>740</v>
      </c>
      <c r="AN140" s="88">
        <v>168766.0</v>
      </c>
      <c r="AO140" s="88">
        <v>28367.0</v>
      </c>
      <c r="AP140" s="88">
        <v>28367.0</v>
      </c>
      <c r="AQ140" s="88">
        <v>10.867</v>
      </c>
      <c r="AS140" s="88">
        <v>1245.0</v>
      </c>
      <c r="AT140" s="88">
        <v>186.0</v>
      </c>
      <c r="AU140" s="88">
        <v>6.694</v>
      </c>
      <c r="AV140" s="88">
        <v>39.607</v>
      </c>
      <c r="AW140" s="88" t="s">
        <v>280</v>
      </c>
      <c r="AX140" s="88">
        <v>7.148</v>
      </c>
      <c r="AY140" s="88">
        <v>1.0</v>
      </c>
      <c r="AZ140" s="88">
        <v>1.0</v>
      </c>
      <c r="BB140" s="88">
        <v>371.0</v>
      </c>
      <c r="BC140" s="88">
        <v>180.0</v>
      </c>
      <c r="BD140" s="88">
        <v>0.0</v>
      </c>
      <c r="BE140" s="88">
        <v>99.45</v>
      </c>
      <c r="BF140" s="88">
        <v>95.0</v>
      </c>
      <c r="BG140" s="88">
        <v>41.0</v>
      </c>
      <c r="BH140" s="88">
        <v>0.0</v>
      </c>
      <c r="BI140" s="88">
        <v>2.0</v>
      </c>
      <c r="BJ140" s="88">
        <v>2.0</v>
      </c>
      <c r="BK140" s="88">
        <v>0.0</v>
      </c>
      <c r="BP140" s="88" t="s">
        <v>1134</v>
      </c>
      <c r="BQ140" s="88">
        <v>0.162</v>
      </c>
      <c r="BV140" s="88" t="s">
        <v>273</v>
      </c>
      <c r="BW140" s="88">
        <v>1.1</v>
      </c>
      <c r="BX140" s="88">
        <v>29.0</v>
      </c>
      <c r="BY140" s="88">
        <v>9.0</v>
      </c>
      <c r="BZ140" s="88">
        <v>0.53</v>
      </c>
      <c r="CA140" s="88">
        <v>0.0</v>
      </c>
      <c r="CB140" s="88">
        <v>77.0</v>
      </c>
      <c r="CC140" s="88">
        <v>0.0</v>
      </c>
      <c r="CI140" s="87" t="s">
        <v>740</v>
      </c>
      <c r="CJ140" s="89">
        <v>46037.65888888889</v>
      </c>
    </row>
    <row r="141">
      <c r="A141" s="87" t="s">
        <v>1135</v>
      </c>
      <c r="D141" s="88">
        <v>7.0</v>
      </c>
      <c r="E141" s="88" t="s">
        <v>464</v>
      </c>
      <c r="F141" s="88"/>
      <c r="G141" s="88" t="s">
        <v>261</v>
      </c>
      <c r="H141" s="88">
        <v>200.0</v>
      </c>
      <c r="I141" s="88" t="s">
        <v>262</v>
      </c>
      <c r="J141" s="88" t="s">
        <v>263</v>
      </c>
      <c r="L141" s="88" t="s">
        <v>1136</v>
      </c>
      <c r="M141" s="88">
        <v>40.0</v>
      </c>
      <c r="N141" s="88">
        <v>360.0</v>
      </c>
      <c r="O141" s="88" t="s">
        <v>1137</v>
      </c>
      <c r="P141" s="88">
        <v>159.0</v>
      </c>
      <c r="Q141" s="88">
        <v>995.0</v>
      </c>
      <c r="R141" s="88" t="s">
        <v>1137</v>
      </c>
      <c r="S141" s="88">
        <v>159.0</v>
      </c>
      <c r="T141" s="88">
        <v>995.0</v>
      </c>
      <c r="V141" s="88">
        <v>0.0</v>
      </c>
      <c r="W141" s="88" t="s">
        <v>1138</v>
      </c>
      <c r="X141" s="88">
        <v>24.0</v>
      </c>
      <c r="Z141" s="88">
        <v>0.0</v>
      </c>
      <c r="AA141" s="88" t="s">
        <v>288</v>
      </c>
      <c r="AB141" s="88">
        <v>34.0</v>
      </c>
      <c r="AC141" s="88" t="s">
        <v>1139</v>
      </c>
      <c r="AD141" s="88">
        <v>33.0</v>
      </c>
      <c r="AE141" s="88" t="s">
        <v>270</v>
      </c>
      <c r="AH141" s="87" t="s">
        <v>1135</v>
      </c>
      <c r="AN141" s="88">
        <v>237750.0</v>
      </c>
      <c r="AO141" s="88">
        <v>33224.0</v>
      </c>
      <c r="AP141" s="88">
        <v>33224.0</v>
      </c>
      <c r="AQ141" s="88">
        <v>12.727</v>
      </c>
      <c r="AS141" s="88">
        <v>1506.0</v>
      </c>
      <c r="AT141" s="88">
        <v>246.0</v>
      </c>
      <c r="AU141" s="88">
        <v>6.122</v>
      </c>
      <c r="AV141" s="88">
        <v>45.353</v>
      </c>
      <c r="AW141" s="88" t="s">
        <v>280</v>
      </c>
      <c r="AX141" s="88">
        <v>5.6</v>
      </c>
      <c r="AY141" s="88">
        <v>1.0</v>
      </c>
      <c r="AZ141" s="88">
        <v>1.0</v>
      </c>
      <c r="BB141" s="88">
        <v>362.0</v>
      </c>
      <c r="BC141" s="88">
        <v>180.0</v>
      </c>
      <c r="BD141" s="88">
        <v>0.0</v>
      </c>
      <c r="BE141" s="88">
        <v>99.45</v>
      </c>
      <c r="BF141" s="88">
        <v>108.0</v>
      </c>
      <c r="BG141" s="88">
        <v>41.0</v>
      </c>
      <c r="BH141" s="88">
        <v>0.0</v>
      </c>
      <c r="BI141" s="88">
        <v>12.0</v>
      </c>
      <c r="BJ141" s="88">
        <v>7.0</v>
      </c>
      <c r="BK141" s="88">
        <v>0.0</v>
      </c>
      <c r="BP141" s="88" t="s">
        <v>1140</v>
      </c>
      <c r="BQ141" s="88">
        <v>0.116</v>
      </c>
      <c r="BV141" s="88" t="s">
        <v>273</v>
      </c>
      <c r="BW141" s="88">
        <v>1.1</v>
      </c>
      <c r="BX141" s="88">
        <v>8.0</v>
      </c>
      <c r="BY141" s="88">
        <v>1.0</v>
      </c>
      <c r="BZ141" s="88">
        <v>0.14</v>
      </c>
      <c r="CA141" s="88">
        <v>0.0</v>
      </c>
      <c r="CB141" s="88">
        <v>25.0</v>
      </c>
      <c r="CC141" s="88">
        <v>0.0</v>
      </c>
      <c r="CI141" s="87" t="s">
        <v>1135</v>
      </c>
      <c r="CJ141" s="89">
        <v>46037.65892361111</v>
      </c>
    </row>
    <row r="142">
      <c r="A142" s="87" t="s">
        <v>1141</v>
      </c>
      <c r="D142" s="88">
        <v>6.0</v>
      </c>
      <c r="E142" s="88" t="s">
        <v>328</v>
      </c>
      <c r="F142" s="88"/>
      <c r="G142" s="88" t="s">
        <v>261</v>
      </c>
      <c r="H142" s="88">
        <v>200.0</v>
      </c>
      <c r="I142" s="88" t="s">
        <v>262</v>
      </c>
      <c r="J142" s="88" t="s">
        <v>263</v>
      </c>
      <c r="L142" s="88" t="s">
        <v>1142</v>
      </c>
      <c r="M142" s="88">
        <v>61.0</v>
      </c>
      <c r="N142" s="88">
        <v>563.0</v>
      </c>
      <c r="O142" s="88" t="s">
        <v>1143</v>
      </c>
      <c r="P142" s="88">
        <v>188.0</v>
      </c>
      <c r="Q142" s="88">
        <v>1132.0</v>
      </c>
      <c r="R142" s="88" t="s">
        <v>1144</v>
      </c>
      <c r="S142" s="88">
        <v>174.0</v>
      </c>
      <c r="T142" s="88">
        <v>1067.0</v>
      </c>
      <c r="V142" s="88">
        <v>0.0</v>
      </c>
      <c r="W142" s="88" t="s">
        <v>1145</v>
      </c>
      <c r="X142" s="88">
        <v>29.0</v>
      </c>
      <c r="Z142" s="88">
        <v>0.0</v>
      </c>
      <c r="AA142" s="88" t="s">
        <v>288</v>
      </c>
      <c r="AB142" s="88">
        <v>34.0</v>
      </c>
      <c r="AC142" s="88" t="s">
        <v>1146</v>
      </c>
      <c r="AD142" s="88">
        <v>36.0</v>
      </c>
      <c r="AE142" s="88" t="s">
        <v>270</v>
      </c>
      <c r="AH142" s="87" t="s">
        <v>1141</v>
      </c>
      <c r="AN142" s="88">
        <v>240423.0</v>
      </c>
      <c r="AO142" s="88">
        <v>33663.0</v>
      </c>
      <c r="AP142" s="88">
        <v>33663.0</v>
      </c>
      <c r="AQ142" s="88">
        <v>12.896</v>
      </c>
      <c r="AS142" s="88">
        <v>1566.0</v>
      </c>
      <c r="AT142" s="88">
        <v>248.0</v>
      </c>
      <c r="AU142" s="88">
        <v>6.315</v>
      </c>
      <c r="AV142" s="88">
        <v>47.757</v>
      </c>
      <c r="AW142" s="88" t="s">
        <v>280</v>
      </c>
      <c r="AX142" s="88">
        <v>5.685</v>
      </c>
      <c r="AY142" s="88">
        <v>1.0</v>
      </c>
      <c r="AZ142" s="88">
        <v>1.0</v>
      </c>
      <c r="BB142" s="88">
        <v>592.0</v>
      </c>
      <c r="BC142" s="88">
        <v>180.0</v>
      </c>
      <c r="BD142" s="88">
        <v>0.0</v>
      </c>
      <c r="BE142" s="88">
        <v>99.45</v>
      </c>
      <c r="BF142" s="88">
        <v>108.0</v>
      </c>
      <c r="BG142" s="88">
        <v>41.0</v>
      </c>
      <c r="BH142" s="88">
        <v>0.0</v>
      </c>
      <c r="BI142" s="88">
        <v>12.0</v>
      </c>
      <c r="BJ142" s="88">
        <v>7.0</v>
      </c>
      <c r="BK142" s="88">
        <v>0.0</v>
      </c>
      <c r="BP142" s="88" t="s">
        <v>1147</v>
      </c>
      <c r="BQ142" s="88">
        <v>0.127</v>
      </c>
      <c r="BV142" s="88" t="s">
        <v>273</v>
      </c>
      <c r="BW142" s="88">
        <v>1.1</v>
      </c>
      <c r="BX142" s="88">
        <v>9.0</v>
      </c>
      <c r="BY142" s="88">
        <v>1.0</v>
      </c>
      <c r="BZ142" s="88">
        <v>0.17</v>
      </c>
      <c r="CA142" s="88">
        <v>0.0</v>
      </c>
      <c r="CB142" s="88">
        <v>24.0</v>
      </c>
      <c r="CC142" s="88">
        <v>0.0</v>
      </c>
      <c r="CI142" s="87" t="s">
        <v>1141</v>
      </c>
      <c r="CJ142" s="89">
        <v>46037.65892361111</v>
      </c>
    </row>
    <row r="143">
      <c r="A143" s="87" t="s">
        <v>1148</v>
      </c>
      <c r="F143" s="88"/>
      <c r="G143" s="88" t="s">
        <v>261</v>
      </c>
      <c r="H143" s="88">
        <v>200.0</v>
      </c>
      <c r="I143" s="88" t="s">
        <v>262</v>
      </c>
      <c r="J143" s="88" t="s">
        <v>432</v>
      </c>
      <c r="K143" s="88" t="s">
        <v>433</v>
      </c>
      <c r="L143" s="88" t="s">
        <v>1149</v>
      </c>
      <c r="M143" s="88">
        <v>51.0</v>
      </c>
      <c r="N143" s="88">
        <v>477.0</v>
      </c>
      <c r="P143" s="88">
        <v>0.0</v>
      </c>
      <c r="Q143" s="88">
        <v>0.0</v>
      </c>
      <c r="S143" s="88">
        <v>0.0</v>
      </c>
      <c r="T143" s="88">
        <v>0.0</v>
      </c>
      <c r="V143" s="88">
        <v>0.0</v>
      </c>
      <c r="W143" s="88" t="s">
        <v>1150</v>
      </c>
      <c r="X143" s="88">
        <v>40.0</v>
      </c>
      <c r="Z143" s="88">
        <v>0.0</v>
      </c>
      <c r="AA143" s="88" t="s">
        <v>413</v>
      </c>
      <c r="AB143" s="88">
        <v>90.0</v>
      </c>
      <c r="AC143" s="88" t="s">
        <v>427</v>
      </c>
      <c r="AD143" s="88">
        <v>46.0</v>
      </c>
      <c r="AE143" s="88" t="s">
        <v>461</v>
      </c>
      <c r="AN143" s="88">
        <v>112131.0</v>
      </c>
      <c r="AO143" s="88">
        <v>21431.0</v>
      </c>
      <c r="AP143" s="88">
        <v>21431.0</v>
      </c>
      <c r="AQ143" s="88">
        <v>8.21</v>
      </c>
      <c r="AS143" s="88">
        <v>80.0</v>
      </c>
      <c r="AT143" s="88">
        <v>14.0</v>
      </c>
      <c r="AU143" s="88">
        <v>5.714</v>
      </c>
      <c r="AV143" s="88">
        <v>78.365</v>
      </c>
      <c r="AW143" s="88" t="s">
        <v>438</v>
      </c>
      <c r="AX143" s="88">
        <v>3.232</v>
      </c>
      <c r="AY143" s="88">
        <v>3.0</v>
      </c>
      <c r="AZ143" s="88">
        <v>2.0</v>
      </c>
      <c r="BB143" s="88">
        <v>2.0</v>
      </c>
      <c r="BC143" s="88">
        <v>2.0</v>
      </c>
      <c r="BD143" s="88">
        <v>0.0</v>
      </c>
      <c r="BE143" s="88">
        <v>1.1</v>
      </c>
      <c r="BF143" s="88">
        <v>93.0</v>
      </c>
      <c r="BG143" s="88">
        <v>43.0</v>
      </c>
      <c r="BH143" s="88">
        <v>0.0</v>
      </c>
      <c r="BI143" s="88">
        <v>2.0</v>
      </c>
      <c r="BJ143" s="88">
        <v>2.0</v>
      </c>
      <c r="BK143" s="88">
        <v>0.0</v>
      </c>
      <c r="BP143" s="88" t="s">
        <v>1151</v>
      </c>
      <c r="BQ143" s="88">
        <v>0.349</v>
      </c>
      <c r="BV143" s="88" t="s">
        <v>273</v>
      </c>
      <c r="BW143" s="88">
        <v>1.1</v>
      </c>
      <c r="CI143" s="87" t="s">
        <v>1148</v>
      </c>
      <c r="CJ143" s="89">
        <v>46037.659004629626</v>
      </c>
    </row>
    <row r="144">
      <c r="A144" s="87" t="s">
        <v>1152</v>
      </c>
      <c r="F144" s="88"/>
      <c r="G144" s="88" t="s">
        <v>261</v>
      </c>
      <c r="H144" s="88">
        <v>200.0</v>
      </c>
      <c r="I144" s="88" t="s">
        <v>262</v>
      </c>
      <c r="J144" s="88" t="s">
        <v>432</v>
      </c>
      <c r="K144" s="88" t="s">
        <v>433</v>
      </c>
      <c r="L144" s="88" t="s">
        <v>1153</v>
      </c>
      <c r="M144" s="88">
        <v>47.0</v>
      </c>
      <c r="N144" s="88">
        <v>436.0</v>
      </c>
      <c r="P144" s="88">
        <v>0.0</v>
      </c>
      <c r="Q144" s="88">
        <v>0.0</v>
      </c>
      <c r="S144" s="88">
        <v>0.0</v>
      </c>
      <c r="T144" s="88">
        <v>0.0</v>
      </c>
      <c r="V144" s="88">
        <v>0.0</v>
      </c>
      <c r="W144" s="88" t="s">
        <v>1154</v>
      </c>
      <c r="X144" s="88">
        <v>36.0</v>
      </c>
      <c r="Z144" s="88">
        <v>0.0</v>
      </c>
      <c r="AA144" s="88" t="s">
        <v>520</v>
      </c>
      <c r="AB144" s="88">
        <v>82.0</v>
      </c>
      <c r="AC144" s="88" t="s">
        <v>427</v>
      </c>
      <c r="AD144" s="88">
        <v>46.0</v>
      </c>
      <c r="AE144" s="88" t="s">
        <v>461</v>
      </c>
      <c r="AN144" s="88">
        <v>112301.0</v>
      </c>
      <c r="AO144" s="88">
        <v>21515.0</v>
      </c>
      <c r="AP144" s="88">
        <v>21515.0</v>
      </c>
      <c r="AQ144" s="88">
        <v>8.242</v>
      </c>
      <c r="AS144" s="88">
        <v>78.0</v>
      </c>
      <c r="AT144" s="88">
        <v>14.0</v>
      </c>
      <c r="AU144" s="88">
        <v>5.571</v>
      </c>
      <c r="AV144" s="88">
        <v>55.842</v>
      </c>
      <c r="AW144" s="88" t="s">
        <v>304</v>
      </c>
      <c r="AX144" s="88">
        <v>3.273</v>
      </c>
      <c r="AY144" s="88">
        <v>3.0</v>
      </c>
      <c r="AZ144" s="88">
        <v>2.0</v>
      </c>
      <c r="BB144" s="88">
        <v>2.0</v>
      </c>
      <c r="BC144" s="88">
        <v>2.0</v>
      </c>
      <c r="BD144" s="88">
        <v>0.0</v>
      </c>
      <c r="BE144" s="88">
        <v>1.1</v>
      </c>
      <c r="BF144" s="88">
        <v>93.0</v>
      </c>
      <c r="BG144" s="88">
        <v>43.0</v>
      </c>
      <c r="BH144" s="88">
        <v>0.0</v>
      </c>
      <c r="BI144" s="88">
        <v>2.0</v>
      </c>
      <c r="BJ144" s="88">
        <v>2.0</v>
      </c>
      <c r="BK144" s="88">
        <v>0.0</v>
      </c>
      <c r="BP144" s="88" t="s">
        <v>1155</v>
      </c>
      <c r="BQ144" s="88">
        <v>0.198</v>
      </c>
      <c r="BV144" s="88" t="s">
        <v>273</v>
      </c>
      <c r="BW144" s="88">
        <v>1.1</v>
      </c>
      <c r="CI144" s="87" t="s">
        <v>1152</v>
      </c>
      <c r="CJ144" s="89">
        <v>46037.65902777778</v>
      </c>
    </row>
    <row r="145">
      <c r="A145" s="87" t="s">
        <v>1156</v>
      </c>
      <c r="E145" s="88" t="s">
        <v>345</v>
      </c>
      <c r="F145" s="90" t="s">
        <v>321</v>
      </c>
      <c r="G145" s="88" t="s">
        <v>261</v>
      </c>
      <c r="H145" s="88">
        <v>200.0</v>
      </c>
      <c r="I145" s="88" t="s">
        <v>262</v>
      </c>
      <c r="J145" s="88" t="s">
        <v>432</v>
      </c>
      <c r="K145" s="88" t="s">
        <v>433</v>
      </c>
      <c r="L145" s="88" t="s">
        <v>1157</v>
      </c>
      <c r="M145" s="88">
        <v>47.0</v>
      </c>
      <c r="N145" s="88">
        <v>428.0</v>
      </c>
      <c r="P145" s="88">
        <v>0.0</v>
      </c>
      <c r="Q145" s="88">
        <v>0.0</v>
      </c>
      <c r="S145" s="88">
        <v>0.0</v>
      </c>
      <c r="T145" s="88">
        <v>0.0</v>
      </c>
      <c r="V145" s="88">
        <v>0.0</v>
      </c>
      <c r="W145" s="88" t="s">
        <v>1158</v>
      </c>
      <c r="X145" s="88">
        <v>36.0</v>
      </c>
      <c r="Z145" s="88">
        <v>0.0</v>
      </c>
      <c r="AA145" s="88" t="s">
        <v>810</v>
      </c>
      <c r="AB145" s="88">
        <v>77.0</v>
      </c>
      <c r="AC145" s="88" t="s">
        <v>372</v>
      </c>
      <c r="AD145" s="88">
        <v>88.0</v>
      </c>
      <c r="AE145" s="88" t="s">
        <v>461</v>
      </c>
      <c r="AN145" s="88">
        <v>115086.0</v>
      </c>
      <c r="AO145" s="88">
        <v>22103.0</v>
      </c>
      <c r="AP145" s="88">
        <v>22103.0</v>
      </c>
      <c r="AQ145" s="88">
        <v>8.467</v>
      </c>
      <c r="AS145" s="88">
        <v>216.0</v>
      </c>
      <c r="AT145" s="88">
        <v>33.0</v>
      </c>
      <c r="AU145" s="88">
        <v>6.545</v>
      </c>
      <c r="AV145" s="88">
        <v>42.741</v>
      </c>
      <c r="AW145" s="88" t="s">
        <v>280</v>
      </c>
      <c r="AX145" s="88">
        <v>3.979</v>
      </c>
      <c r="AY145" s="88">
        <v>3.0</v>
      </c>
      <c r="AZ145" s="88">
        <v>2.0</v>
      </c>
      <c r="BB145" s="88">
        <v>4.0</v>
      </c>
      <c r="BC145" s="88">
        <v>4.0</v>
      </c>
      <c r="BD145" s="88">
        <v>0.0</v>
      </c>
      <c r="BE145" s="88">
        <v>2.21</v>
      </c>
      <c r="BF145" s="88">
        <v>97.0</v>
      </c>
      <c r="BG145" s="88">
        <v>45.0</v>
      </c>
      <c r="BH145" s="88">
        <v>0.0</v>
      </c>
      <c r="BI145" s="88">
        <v>2.0</v>
      </c>
      <c r="BJ145" s="88">
        <v>2.0</v>
      </c>
      <c r="BK145" s="88">
        <v>0.0</v>
      </c>
      <c r="BP145" s="88" t="s">
        <v>1159</v>
      </c>
      <c r="BQ145" s="88">
        <v>0.113</v>
      </c>
      <c r="BV145" s="88" t="s">
        <v>273</v>
      </c>
      <c r="BW145" s="88">
        <v>1.1</v>
      </c>
      <c r="CI145" s="87" t="s">
        <v>1156</v>
      </c>
      <c r="CJ145" s="89">
        <v>46037.6590625</v>
      </c>
    </row>
    <row r="146">
      <c r="A146" s="87" t="s">
        <v>1160</v>
      </c>
      <c r="F146" s="88"/>
      <c r="G146" s="88" t="s">
        <v>261</v>
      </c>
      <c r="H146" s="88">
        <v>200.0</v>
      </c>
      <c r="I146" s="88" t="s">
        <v>262</v>
      </c>
      <c r="J146" s="88" t="s">
        <v>432</v>
      </c>
      <c r="K146" s="88" t="s">
        <v>433</v>
      </c>
      <c r="L146" s="88" t="s">
        <v>1161</v>
      </c>
      <c r="M146" s="88">
        <v>37.0</v>
      </c>
      <c r="N146" s="88">
        <v>325.0</v>
      </c>
      <c r="P146" s="88">
        <v>0.0</v>
      </c>
      <c r="Q146" s="88">
        <v>0.0</v>
      </c>
      <c r="S146" s="88">
        <v>0.0</v>
      </c>
      <c r="T146" s="88">
        <v>0.0</v>
      </c>
      <c r="V146" s="88">
        <v>0.0</v>
      </c>
      <c r="W146" s="88" t="s">
        <v>1162</v>
      </c>
      <c r="X146" s="88">
        <v>26.0</v>
      </c>
      <c r="Z146" s="88">
        <v>0.0</v>
      </c>
      <c r="AA146" s="88" t="s">
        <v>480</v>
      </c>
      <c r="AB146" s="88">
        <v>50.0</v>
      </c>
      <c r="AC146" s="88" t="s">
        <v>427</v>
      </c>
      <c r="AD146" s="88">
        <v>46.0</v>
      </c>
      <c r="AE146" s="88" t="s">
        <v>461</v>
      </c>
      <c r="AN146" s="88">
        <v>111943.0</v>
      </c>
      <c r="AO146" s="88">
        <v>21389.0</v>
      </c>
      <c r="AP146" s="88">
        <v>21389.0</v>
      </c>
      <c r="AQ146" s="88">
        <v>8.194</v>
      </c>
      <c r="AS146" s="88">
        <v>75.0</v>
      </c>
      <c r="AT146" s="88">
        <v>13.0</v>
      </c>
      <c r="AU146" s="88">
        <v>5.769</v>
      </c>
      <c r="AV146" s="88">
        <v>62.235</v>
      </c>
      <c r="AW146" s="88" t="s">
        <v>271</v>
      </c>
      <c r="AX146" s="88">
        <v>3.232</v>
      </c>
      <c r="AY146" s="88">
        <v>4.0</v>
      </c>
      <c r="AZ146" s="88">
        <v>2.0</v>
      </c>
      <c r="BB146" s="88">
        <v>2.0</v>
      </c>
      <c r="BC146" s="88">
        <v>2.0</v>
      </c>
      <c r="BD146" s="88">
        <v>0.0</v>
      </c>
      <c r="BE146" s="88">
        <v>1.1</v>
      </c>
      <c r="BF146" s="88">
        <v>93.0</v>
      </c>
      <c r="BG146" s="88">
        <v>43.0</v>
      </c>
      <c r="BH146" s="88">
        <v>0.0</v>
      </c>
      <c r="BI146" s="88">
        <v>2.0</v>
      </c>
      <c r="BJ146" s="88">
        <v>2.0</v>
      </c>
      <c r="BK146" s="88">
        <v>0.0</v>
      </c>
      <c r="BP146" s="88" t="s">
        <v>1163</v>
      </c>
      <c r="BQ146" s="88">
        <v>0.143</v>
      </c>
      <c r="BV146" s="88" t="s">
        <v>273</v>
      </c>
      <c r="BW146" s="88">
        <v>1.1</v>
      </c>
      <c r="CI146" s="87" t="s">
        <v>1160</v>
      </c>
      <c r="CJ146" s="89">
        <v>46037.65930555556</v>
      </c>
    </row>
    <row r="147">
      <c r="A147" s="87" t="s">
        <v>1164</v>
      </c>
      <c r="D147" s="88">
        <v>1.0</v>
      </c>
      <c r="E147" s="88" t="s">
        <v>345</v>
      </c>
      <c r="F147" s="90" t="s">
        <v>489</v>
      </c>
      <c r="G147" s="88" t="s">
        <v>261</v>
      </c>
      <c r="H147" s="88">
        <v>200.0</v>
      </c>
      <c r="I147" s="88" t="s">
        <v>262</v>
      </c>
      <c r="J147" s="88" t="s">
        <v>432</v>
      </c>
      <c r="K147" s="88" t="s">
        <v>433</v>
      </c>
      <c r="L147" s="88" t="s">
        <v>1165</v>
      </c>
      <c r="M147" s="88">
        <v>34.0</v>
      </c>
      <c r="N147" s="88">
        <v>297.0</v>
      </c>
      <c r="P147" s="88">
        <v>0.0</v>
      </c>
      <c r="Q147" s="88">
        <v>0.0</v>
      </c>
      <c r="S147" s="88">
        <v>0.0</v>
      </c>
      <c r="T147" s="88">
        <v>0.0</v>
      </c>
      <c r="V147" s="88">
        <v>0.0</v>
      </c>
      <c r="W147" s="88" t="s">
        <v>1166</v>
      </c>
      <c r="X147" s="88">
        <v>23.0</v>
      </c>
      <c r="Z147" s="88">
        <v>0.0</v>
      </c>
      <c r="AA147" s="88" t="s">
        <v>568</v>
      </c>
      <c r="AB147" s="88">
        <v>52.0</v>
      </c>
      <c r="AC147" s="88" t="s">
        <v>427</v>
      </c>
      <c r="AD147" s="88">
        <v>46.0</v>
      </c>
      <c r="AE147" s="88" t="s">
        <v>461</v>
      </c>
      <c r="AN147" s="88">
        <v>111643.0</v>
      </c>
      <c r="AO147" s="88">
        <v>21338.0</v>
      </c>
      <c r="AP147" s="88">
        <v>21338.0</v>
      </c>
      <c r="AQ147" s="88">
        <v>8.174</v>
      </c>
      <c r="AS147" s="88">
        <v>75.0</v>
      </c>
      <c r="AT147" s="88">
        <v>14.0</v>
      </c>
      <c r="AU147" s="88">
        <v>5.357</v>
      </c>
      <c r="AV147" s="88">
        <v>49.118</v>
      </c>
      <c r="AW147" s="88" t="s">
        <v>280</v>
      </c>
      <c r="AX147" s="88">
        <v>3.245</v>
      </c>
      <c r="AY147" s="88">
        <v>4.0</v>
      </c>
      <c r="AZ147" s="88">
        <v>2.0</v>
      </c>
      <c r="BB147" s="88">
        <v>2.0</v>
      </c>
      <c r="BC147" s="88">
        <v>2.0</v>
      </c>
      <c r="BD147" s="88">
        <v>0.0</v>
      </c>
      <c r="BE147" s="88">
        <v>1.1</v>
      </c>
      <c r="BF147" s="88">
        <v>93.0</v>
      </c>
      <c r="BG147" s="88">
        <v>43.0</v>
      </c>
      <c r="BH147" s="88">
        <v>0.0</v>
      </c>
      <c r="BI147" s="88">
        <v>2.0</v>
      </c>
      <c r="BJ147" s="88">
        <v>2.0</v>
      </c>
      <c r="BK147" s="88">
        <v>0.0</v>
      </c>
      <c r="BP147" s="88" t="s">
        <v>1167</v>
      </c>
      <c r="BQ147" s="88">
        <v>0.144</v>
      </c>
      <c r="BV147" s="88" t="s">
        <v>273</v>
      </c>
      <c r="BW147" s="88">
        <v>1.1</v>
      </c>
      <c r="BX147" s="88">
        <v>1.0</v>
      </c>
      <c r="BY147" s="88">
        <v>0.0</v>
      </c>
      <c r="BZ147" s="88">
        <v>0.0</v>
      </c>
      <c r="CA147" s="88">
        <v>0.0</v>
      </c>
      <c r="CB147" s="88">
        <v>3.0</v>
      </c>
      <c r="CC147" s="88">
        <v>0.0</v>
      </c>
      <c r="CI147" s="87" t="s">
        <v>1164</v>
      </c>
      <c r="CJ147" s="89">
        <v>46037.659317129626</v>
      </c>
    </row>
    <row r="148">
      <c r="A148" s="87" t="s">
        <v>1168</v>
      </c>
      <c r="E148" s="88" t="s">
        <v>345</v>
      </c>
      <c r="F148" s="90" t="s">
        <v>579</v>
      </c>
      <c r="G148" s="88" t="s">
        <v>261</v>
      </c>
      <c r="H148" s="88">
        <v>200.0</v>
      </c>
      <c r="I148" s="88" t="s">
        <v>262</v>
      </c>
      <c r="J148" s="88" t="s">
        <v>432</v>
      </c>
      <c r="K148" s="88" t="s">
        <v>433</v>
      </c>
      <c r="L148" s="88" t="s">
        <v>1169</v>
      </c>
      <c r="M148" s="88">
        <v>44.0</v>
      </c>
      <c r="N148" s="88">
        <v>404.0</v>
      </c>
      <c r="P148" s="88">
        <v>0.0</v>
      </c>
      <c r="Q148" s="88">
        <v>0.0</v>
      </c>
      <c r="S148" s="88">
        <v>0.0</v>
      </c>
      <c r="T148" s="88">
        <v>0.0</v>
      </c>
      <c r="V148" s="88">
        <v>0.0</v>
      </c>
      <c r="W148" s="88" t="s">
        <v>1170</v>
      </c>
      <c r="X148" s="88">
        <v>33.0</v>
      </c>
      <c r="Z148" s="88">
        <v>0.0</v>
      </c>
      <c r="AA148" s="88" t="s">
        <v>609</v>
      </c>
      <c r="AB148" s="88">
        <v>56.0</v>
      </c>
      <c r="AC148" s="88" t="s">
        <v>427</v>
      </c>
      <c r="AD148" s="88">
        <v>46.0</v>
      </c>
      <c r="AE148" s="88" t="s">
        <v>461</v>
      </c>
      <c r="AN148" s="88">
        <v>112085.0</v>
      </c>
      <c r="AO148" s="88">
        <v>21483.0</v>
      </c>
      <c r="AP148" s="88">
        <v>21483.0</v>
      </c>
      <c r="AQ148" s="88">
        <v>8.23</v>
      </c>
      <c r="AS148" s="88">
        <v>76.0</v>
      </c>
      <c r="AT148" s="88">
        <v>13.0</v>
      </c>
      <c r="AU148" s="88">
        <v>5.846</v>
      </c>
      <c r="AV148" s="88">
        <v>58.417</v>
      </c>
      <c r="AW148" s="88" t="s">
        <v>304</v>
      </c>
      <c r="AX148" s="88">
        <v>3.229</v>
      </c>
      <c r="AY148" s="88">
        <v>3.0</v>
      </c>
      <c r="AZ148" s="88">
        <v>2.0</v>
      </c>
      <c r="BB148" s="88">
        <v>2.0</v>
      </c>
      <c r="BC148" s="88">
        <v>2.0</v>
      </c>
      <c r="BD148" s="88">
        <v>0.0</v>
      </c>
      <c r="BE148" s="88">
        <v>1.1</v>
      </c>
      <c r="BF148" s="88">
        <v>93.0</v>
      </c>
      <c r="BG148" s="88">
        <v>43.0</v>
      </c>
      <c r="BH148" s="88">
        <v>0.0</v>
      </c>
      <c r="BI148" s="88">
        <v>2.0</v>
      </c>
      <c r="BJ148" s="88">
        <v>2.0</v>
      </c>
      <c r="BK148" s="88">
        <v>0.0</v>
      </c>
      <c r="BP148" s="88" t="s">
        <v>1171</v>
      </c>
      <c r="BQ148" s="88">
        <v>0.133</v>
      </c>
      <c r="BV148" s="88" t="s">
        <v>273</v>
      </c>
      <c r="BW148" s="88">
        <v>1.1</v>
      </c>
      <c r="CI148" s="87" t="s">
        <v>1168</v>
      </c>
      <c r="CJ148" s="89">
        <v>46037.6590162037</v>
      </c>
    </row>
    <row r="149">
      <c r="A149" s="87" t="s">
        <v>1172</v>
      </c>
      <c r="E149" s="88" t="s">
        <v>345</v>
      </c>
      <c r="F149" s="90" t="s">
        <v>321</v>
      </c>
      <c r="G149" s="88" t="s">
        <v>261</v>
      </c>
      <c r="H149" s="88">
        <v>200.0</v>
      </c>
      <c r="I149" s="88" t="s">
        <v>262</v>
      </c>
      <c r="J149" s="88" t="s">
        <v>432</v>
      </c>
      <c r="K149" s="88" t="s">
        <v>433</v>
      </c>
      <c r="L149" s="88" t="s">
        <v>1173</v>
      </c>
      <c r="M149" s="88">
        <v>40.0</v>
      </c>
      <c r="N149" s="88">
        <v>368.0</v>
      </c>
      <c r="P149" s="88">
        <v>0.0</v>
      </c>
      <c r="Q149" s="88">
        <v>0.0</v>
      </c>
      <c r="S149" s="88">
        <v>0.0</v>
      </c>
      <c r="T149" s="88">
        <v>0.0</v>
      </c>
      <c r="V149" s="88">
        <v>0.0</v>
      </c>
      <c r="W149" s="88" t="s">
        <v>1174</v>
      </c>
      <c r="X149" s="88">
        <v>29.0</v>
      </c>
      <c r="Z149" s="88">
        <v>0.0</v>
      </c>
      <c r="AA149" s="88" t="s">
        <v>822</v>
      </c>
      <c r="AB149" s="88">
        <v>65.0</v>
      </c>
      <c r="AC149" s="88" t="s">
        <v>427</v>
      </c>
      <c r="AD149" s="88">
        <v>46.0</v>
      </c>
      <c r="AE149" s="88" t="s">
        <v>461</v>
      </c>
      <c r="AN149" s="88">
        <v>111776.0</v>
      </c>
      <c r="AO149" s="88">
        <v>21451.0</v>
      </c>
      <c r="AP149" s="88">
        <v>21451.0</v>
      </c>
      <c r="AQ149" s="88">
        <v>8.217</v>
      </c>
      <c r="AS149" s="88">
        <v>73.0</v>
      </c>
      <c r="AT149" s="88">
        <v>13.0</v>
      </c>
      <c r="AU149" s="88">
        <v>5.615</v>
      </c>
      <c r="AV149" s="88">
        <v>42.366</v>
      </c>
      <c r="AW149" s="88" t="s">
        <v>280</v>
      </c>
      <c r="AX149" s="88">
        <v>3.272</v>
      </c>
      <c r="AY149" s="88">
        <v>4.0</v>
      </c>
      <c r="AZ149" s="88">
        <v>2.0</v>
      </c>
      <c r="BB149" s="88">
        <v>2.0</v>
      </c>
      <c r="BC149" s="88">
        <v>2.0</v>
      </c>
      <c r="BD149" s="88">
        <v>0.0</v>
      </c>
      <c r="BE149" s="88">
        <v>1.1</v>
      </c>
      <c r="BF149" s="88">
        <v>93.0</v>
      </c>
      <c r="BG149" s="88">
        <v>43.0</v>
      </c>
      <c r="BH149" s="88">
        <v>0.0</v>
      </c>
      <c r="BI149" s="88">
        <v>2.0</v>
      </c>
      <c r="BJ149" s="88">
        <v>2.0</v>
      </c>
      <c r="BK149" s="88">
        <v>0.0</v>
      </c>
      <c r="BP149" s="88" t="s">
        <v>1175</v>
      </c>
      <c r="BQ149" s="88">
        <v>0.142</v>
      </c>
      <c r="BV149" s="88" t="s">
        <v>273</v>
      </c>
      <c r="BW149" s="88">
        <v>1.1</v>
      </c>
      <c r="CI149" s="87" t="s">
        <v>1172</v>
      </c>
      <c r="CJ149" s="89">
        <v>46037.65929398148</v>
      </c>
    </row>
    <row r="150">
      <c r="A150" s="87" t="s">
        <v>1176</v>
      </c>
      <c r="D150" s="88">
        <v>1.0</v>
      </c>
      <c r="E150" s="88" t="s">
        <v>345</v>
      </c>
      <c r="F150" s="87" t="s">
        <v>339</v>
      </c>
      <c r="G150" s="88" t="s">
        <v>261</v>
      </c>
      <c r="H150" s="88">
        <v>200.0</v>
      </c>
      <c r="I150" s="88" t="s">
        <v>262</v>
      </c>
      <c r="J150" s="88" t="s">
        <v>432</v>
      </c>
      <c r="K150" s="88" t="s">
        <v>433</v>
      </c>
      <c r="L150" s="88" t="s">
        <v>1177</v>
      </c>
      <c r="M150" s="88">
        <v>34.0</v>
      </c>
      <c r="N150" s="88">
        <v>300.0</v>
      </c>
      <c r="P150" s="88">
        <v>0.0</v>
      </c>
      <c r="Q150" s="88">
        <v>0.0</v>
      </c>
      <c r="S150" s="88">
        <v>0.0</v>
      </c>
      <c r="T150" s="88">
        <v>0.0</v>
      </c>
      <c r="V150" s="88">
        <v>0.0</v>
      </c>
      <c r="W150" s="88" t="s">
        <v>1178</v>
      </c>
      <c r="X150" s="88">
        <v>23.0</v>
      </c>
      <c r="Z150" s="88">
        <v>0.0</v>
      </c>
      <c r="AA150" s="88" t="s">
        <v>480</v>
      </c>
      <c r="AB150" s="88">
        <v>50.0</v>
      </c>
      <c r="AC150" s="88" t="s">
        <v>866</v>
      </c>
      <c r="AD150" s="88">
        <v>49.0</v>
      </c>
      <c r="AE150" s="88" t="s">
        <v>461</v>
      </c>
      <c r="AN150" s="88">
        <v>113019.0</v>
      </c>
      <c r="AO150" s="88">
        <v>21754.0</v>
      </c>
      <c r="AP150" s="88">
        <v>21754.0</v>
      </c>
      <c r="AQ150" s="88">
        <v>8.334</v>
      </c>
      <c r="AS150" s="88">
        <v>138.0</v>
      </c>
      <c r="AT150" s="88">
        <v>23.0</v>
      </c>
      <c r="AU150" s="88">
        <v>6.0</v>
      </c>
      <c r="AV150" s="88">
        <v>54.228</v>
      </c>
      <c r="AW150" s="88" t="s">
        <v>304</v>
      </c>
      <c r="AX150" s="88">
        <v>3.566</v>
      </c>
      <c r="AY150" s="88">
        <v>4.0</v>
      </c>
      <c r="AZ150" s="88">
        <v>2.0</v>
      </c>
      <c r="BB150" s="88">
        <v>3.0</v>
      </c>
      <c r="BC150" s="88">
        <v>3.0</v>
      </c>
      <c r="BD150" s="88">
        <v>0.0</v>
      </c>
      <c r="BE150" s="88">
        <v>1.66</v>
      </c>
      <c r="BF150" s="88">
        <v>95.0</v>
      </c>
      <c r="BG150" s="88">
        <v>44.0</v>
      </c>
      <c r="BH150" s="88">
        <v>0.0</v>
      </c>
      <c r="BI150" s="88">
        <v>2.0</v>
      </c>
      <c r="BJ150" s="88">
        <v>2.0</v>
      </c>
      <c r="BK150" s="88">
        <v>0.0</v>
      </c>
      <c r="BP150" s="88" t="s">
        <v>1179</v>
      </c>
      <c r="BQ150" s="88">
        <v>0.083</v>
      </c>
      <c r="BV150" s="88" t="s">
        <v>273</v>
      </c>
      <c r="BW150" s="88">
        <v>1.1</v>
      </c>
      <c r="BX150" s="88">
        <v>1.0</v>
      </c>
      <c r="BY150" s="88">
        <v>0.0</v>
      </c>
      <c r="BZ150" s="88">
        <v>0.0</v>
      </c>
      <c r="CA150" s="88">
        <v>0.0</v>
      </c>
      <c r="CB150" s="88">
        <v>3.0</v>
      </c>
      <c r="CC150" s="88">
        <v>0.0</v>
      </c>
      <c r="CI150" s="87" t="s">
        <v>1176</v>
      </c>
      <c r="CJ150" s="89">
        <v>46037.65930555556</v>
      </c>
    </row>
    <row r="151">
      <c r="A151" s="87" t="s">
        <v>1180</v>
      </c>
      <c r="D151" s="88">
        <v>1.0</v>
      </c>
      <c r="E151" s="88" t="s">
        <v>260</v>
      </c>
      <c r="F151" s="88"/>
      <c r="G151" s="88" t="s">
        <v>261</v>
      </c>
      <c r="H151" s="88">
        <v>200.0</v>
      </c>
      <c r="I151" s="88" t="s">
        <v>262</v>
      </c>
      <c r="J151" s="88" t="s">
        <v>432</v>
      </c>
      <c r="K151" s="88" t="s">
        <v>433</v>
      </c>
      <c r="L151" s="88" t="s">
        <v>1181</v>
      </c>
      <c r="M151" s="88">
        <v>55.0</v>
      </c>
      <c r="N151" s="88">
        <v>486.0</v>
      </c>
      <c r="P151" s="88">
        <v>0.0</v>
      </c>
      <c r="Q151" s="88">
        <v>0.0</v>
      </c>
      <c r="S151" s="88">
        <v>0.0</v>
      </c>
      <c r="T151" s="88">
        <v>0.0</v>
      </c>
      <c r="V151" s="88">
        <v>0.0</v>
      </c>
      <c r="W151" s="88" t="s">
        <v>1182</v>
      </c>
      <c r="X151" s="88">
        <v>44.0</v>
      </c>
      <c r="Z151" s="88">
        <v>0.0</v>
      </c>
      <c r="AA151" s="88" t="s">
        <v>1120</v>
      </c>
      <c r="AB151" s="88">
        <v>68.0</v>
      </c>
      <c r="AC151" s="88" t="s">
        <v>427</v>
      </c>
      <c r="AD151" s="88">
        <v>46.0</v>
      </c>
      <c r="AE151" s="88" t="s">
        <v>461</v>
      </c>
      <c r="AN151" s="88">
        <v>111439.0</v>
      </c>
      <c r="AO151" s="88">
        <v>21362.0</v>
      </c>
      <c r="AP151" s="88">
        <v>21362.0</v>
      </c>
      <c r="AQ151" s="88">
        <v>8.183</v>
      </c>
      <c r="AS151" s="88">
        <v>75.0</v>
      </c>
      <c r="AT151" s="88">
        <v>13.0</v>
      </c>
      <c r="AU151" s="88">
        <v>5.769</v>
      </c>
      <c r="AV151" s="88">
        <v>45.315</v>
      </c>
      <c r="AW151" s="88" t="s">
        <v>280</v>
      </c>
      <c r="AX151" s="88">
        <v>3.279</v>
      </c>
      <c r="AY151" s="88">
        <v>4.0</v>
      </c>
      <c r="AZ151" s="88">
        <v>2.0</v>
      </c>
      <c r="BB151" s="88">
        <v>2.0</v>
      </c>
      <c r="BC151" s="88">
        <v>2.0</v>
      </c>
      <c r="BD151" s="88">
        <v>0.0</v>
      </c>
      <c r="BE151" s="88">
        <v>1.1</v>
      </c>
      <c r="BF151" s="88">
        <v>92.0</v>
      </c>
      <c r="BG151" s="88">
        <v>43.0</v>
      </c>
      <c r="BH151" s="88">
        <v>0.0</v>
      </c>
      <c r="BI151" s="88">
        <v>2.0</v>
      </c>
      <c r="BJ151" s="88">
        <v>2.0</v>
      </c>
      <c r="BK151" s="88">
        <v>0.0</v>
      </c>
      <c r="BP151" s="88" t="s">
        <v>1183</v>
      </c>
      <c r="BQ151" s="88">
        <v>0.107</v>
      </c>
      <c r="BV151" s="88" t="s">
        <v>273</v>
      </c>
      <c r="BW151" s="88">
        <v>1.1</v>
      </c>
      <c r="BX151" s="88">
        <v>1.0</v>
      </c>
      <c r="BY151" s="88">
        <v>0.0</v>
      </c>
      <c r="BZ151" s="88">
        <v>0.0</v>
      </c>
      <c r="CA151" s="88">
        <v>0.0</v>
      </c>
      <c r="CB151" s="88">
        <v>3.0</v>
      </c>
      <c r="CC151" s="88">
        <v>0.0</v>
      </c>
      <c r="CI151" s="87" t="s">
        <v>1180</v>
      </c>
      <c r="CJ151" s="89">
        <v>46037.65928240741</v>
      </c>
    </row>
    <row r="152">
      <c r="A152" s="87" t="s">
        <v>1184</v>
      </c>
      <c r="F152" s="88"/>
      <c r="G152" s="88" t="s">
        <v>261</v>
      </c>
      <c r="H152" s="88">
        <v>200.0</v>
      </c>
      <c r="I152" s="88" t="s">
        <v>262</v>
      </c>
      <c r="J152" s="88" t="s">
        <v>432</v>
      </c>
      <c r="K152" s="88" t="s">
        <v>433</v>
      </c>
      <c r="L152" s="88" t="s">
        <v>1185</v>
      </c>
      <c r="M152" s="88">
        <v>49.0</v>
      </c>
      <c r="N152" s="88">
        <v>446.0</v>
      </c>
      <c r="P152" s="88">
        <v>0.0</v>
      </c>
      <c r="Q152" s="88">
        <v>0.0</v>
      </c>
      <c r="S152" s="88">
        <v>0.0</v>
      </c>
      <c r="T152" s="88">
        <v>0.0</v>
      </c>
      <c r="V152" s="88">
        <v>0.0</v>
      </c>
      <c r="W152" s="88" t="s">
        <v>1186</v>
      </c>
      <c r="X152" s="88">
        <v>38.0</v>
      </c>
      <c r="Z152" s="88">
        <v>0.0</v>
      </c>
      <c r="AA152" s="88" t="s">
        <v>1125</v>
      </c>
      <c r="AB152" s="88">
        <v>68.0</v>
      </c>
      <c r="AC152" s="88" t="s">
        <v>427</v>
      </c>
      <c r="AD152" s="88">
        <v>46.0</v>
      </c>
      <c r="AE152" s="88" t="s">
        <v>461</v>
      </c>
      <c r="AN152" s="88">
        <v>111930.0</v>
      </c>
      <c r="AO152" s="88">
        <v>21479.0</v>
      </c>
      <c r="AP152" s="88">
        <v>21479.0</v>
      </c>
      <c r="AQ152" s="88">
        <v>8.228</v>
      </c>
      <c r="AS152" s="88">
        <v>75.0</v>
      </c>
      <c r="AT152" s="88">
        <v>14.0</v>
      </c>
      <c r="AU152" s="88">
        <v>5.357</v>
      </c>
      <c r="AV152" s="88">
        <v>45.734</v>
      </c>
      <c r="AW152" s="88" t="s">
        <v>280</v>
      </c>
      <c r="AX152" s="88">
        <v>3.263</v>
      </c>
      <c r="AY152" s="88">
        <v>4.0</v>
      </c>
      <c r="AZ152" s="88">
        <v>2.0</v>
      </c>
      <c r="BB152" s="88">
        <v>2.0</v>
      </c>
      <c r="BC152" s="88">
        <v>2.0</v>
      </c>
      <c r="BD152" s="88">
        <v>0.0</v>
      </c>
      <c r="BE152" s="88">
        <v>1.1</v>
      </c>
      <c r="BF152" s="88">
        <v>93.0</v>
      </c>
      <c r="BG152" s="88">
        <v>43.0</v>
      </c>
      <c r="BH152" s="88">
        <v>0.0</v>
      </c>
      <c r="BI152" s="88">
        <v>2.0</v>
      </c>
      <c r="BJ152" s="88">
        <v>2.0</v>
      </c>
      <c r="BK152" s="88">
        <v>0.0</v>
      </c>
      <c r="BP152" s="88" t="s">
        <v>1187</v>
      </c>
      <c r="BQ152" s="88">
        <v>0.214</v>
      </c>
      <c r="BV152" s="88" t="s">
        <v>273</v>
      </c>
      <c r="BW152" s="88">
        <v>1.1</v>
      </c>
      <c r="CI152" s="87" t="s">
        <v>1184</v>
      </c>
      <c r="CJ152" s="89">
        <v>46037.6590625</v>
      </c>
    </row>
    <row r="153">
      <c r="A153" s="87" t="s">
        <v>1188</v>
      </c>
      <c r="D153" s="88">
        <v>5.0</v>
      </c>
      <c r="E153" s="88" t="s">
        <v>260</v>
      </c>
      <c r="F153" s="88"/>
      <c r="G153" s="88" t="s">
        <v>261</v>
      </c>
      <c r="H153" s="88">
        <v>200.0</v>
      </c>
      <c r="I153" s="88" t="s">
        <v>262</v>
      </c>
      <c r="J153" s="88" t="s">
        <v>263</v>
      </c>
      <c r="L153" s="88" t="s">
        <v>1189</v>
      </c>
      <c r="M153" s="88">
        <v>28.0</v>
      </c>
      <c r="N153" s="88">
        <v>255.0</v>
      </c>
      <c r="O153" s="88" t="s">
        <v>1190</v>
      </c>
      <c r="P153" s="88">
        <v>155.0</v>
      </c>
      <c r="Q153" s="88">
        <v>942.0</v>
      </c>
      <c r="S153" s="88">
        <v>0.0</v>
      </c>
      <c r="T153" s="88">
        <v>0.0</v>
      </c>
      <c r="V153" s="88">
        <v>0.0</v>
      </c>
      <c r="W153" s="88" t="s">
        <v>1191</v>
      </c>
      <c r="X153" s="88">
        <v>12.0</v>
      </c>
      <c r="Z153" s="88">
        <v>0.0</v>
      </c>
      <c r="AA153" s="88" t="s">
        <v>1192</v>
      </c>
      <c r="AB153" s="88">
        <v>22.0</v>
      </c>
      <c r="AC153" s="88" t="s">
        <v>1193</v>
      </c>
      <c r="AD153" s="88">
        <v>17.0</v>
      </c>
      <c r="AE153" s="88" t="s">
        <v>270</v>
      </c>
      <c r="AH153" s="87" t="s">
        <v>1188</v>
      </c>
      <c r="AN153" s="88">
        <v>124586.0</v>
      </c>
      <c r="AO153" s="88">
        <v>23030.0</v>
      </c>
      <c r="AP153" s="88">
        <v>23030.0</v>
      </c>
      <c r="AQ153" s="88">
        <v>8.822</v>
      </c>
      <c r="AS153" s="88">
        <v>347.0</v>
      </c>
      <c r="AT153" s="88">
        <v>61.0</v>
      </c>
      <c r="AU153" s="88">
        <v>5.689</v>
      </c>
      <c r="AV153" s="88">
        <v>61.605</v>
      </c>
      <c r="AW153" s="88" t="s">
        <v>271</v>
      </c>
      <c r="AX153" s="88">
        <v>4.229</v>
      </c>
      <c r="AY153" s="88">
        <v>1.0</v>
      </c>
      <c r="AZ153" s="88">
        <v>1.0</v>
      </c>
      <c r="BB153" s="88">
        <v>181.0</v>
      </c>
      <c r="BC153" s="88">
        <v>180.0</v>
      </c>
      <c r="BD153" s="88">
        <v>0.0</v>
      </c>
      <c r="BE153" s="88">
        <v>99.45</v>
      </c>
      <c r="BF153" s="88">
        <v>93.0</v>
      </c>
      <c r="BG153" s="88">
        <v>41.0</v>
      </c>
      <c r="BH153" s="88">
        <v>0.0</v>
      </c>
      <c r="BI153" s="88">
        <v>2.0</v>
      </c>
      <c r="BJ153" s="88">
        <v>2.0</v>
      </c>
      <c r="BK153" s="88">
        <v>0.0</v>
      </c>
      <c r="BP153" s="88" t="s">
        <v>1194</v>
      </c>
      <c r="BQ153" s="88">
        <v>0.147</v>
      </c>
      <c r="BV153" s="88" t="s">
        <v>273</v>
      </c>
      <c r="BW153" s="88">
        <v>1.1</v>
      </c>
      <c r="BX153" s="88">
        <v>8.0</v>
      </c>
      <c r="BY153" s="88">
        <v>1.0</v>
      </c>
      <c r="BZ153" s="88">
        <v>0.2</v>
      </c>
      <c r="CA153" s="88">
        <v>0.0</v>
      </c>
      <c r="CB153" s="88">
        <v>21.0</v>
      </c>
      <c r="CC153" s="88">
        <v>0.0</v>
      </c>
      <c r="CI153" s="87" t="s">
        <v>1188</v>
      </c>
      <c r="CJ153" s="89">
        <v>46037.65888888889</v>
      </c>
    </row>
    <row r="154">
      <c r="A154" s="87" t="s">
        <v>1195</v>
      </c>
      <c r="D154" s="88">
        <v>9.0</v>
      </c>
      <c r="E154" s="88" t="s">
        <v>260</v>
      </c>
      <c r="F154" s="88"/>
      <c r="G154" s="88" t="s">
        <v>261</v>
      </c>
      <c r="H154" s="88">
        <v>200.0</v>
      </c>
      <c r="I154" s="88" t="s">
        <v>262</v>
      </c>
      <c r="J154" s="88" t="s">
        <v>263</v>
      </c>
      <c r="L154" s="88" t="s">
        <v>1196</v>
      </c>
      <c r="M154" s="88">
        <v>28.0</v>
      </c>
      <c r="N154" s="88">
        <v>253.0</v>
      </c>
      <c r="O154" s="88" t="s">
        <v>1197</v>
      </c>
      <c r="P154" s="88">
        <v>156.0</v>
      </c>
      <c r="Q154" s="88">
        <v>962.0</v>
      </c>
      <c r="R154" s="88" t="s">
        <v>1197</v>
      </c>
      <c r="S154" s="88">
        <v>156.0</v>
      </c>
      <c r="T154" s="88">
        <v>962.0</v>
      </c>
      <c r="V154" s="88">
        <v>0.0</v>
      </c>
      <c r="W154" s="88" t="s">
        <v>1198</v>
      </c>
      <c r="X154" s="88">
        <v>16.0</v>
      </c>
      <c r="Z154" s="88">
        <v>0.0</v>
      </c>
      <c r="AA154" s="88" t="s">
        <v>1199</v>
      </c>
      <c r="AB154" s="88">
        <v>23.0</v>
      </c>
      <c r="AC154" s="88" t="s">
        <v>1200</v>
      </c>
      <c r="AD154" s="88">
        <v>15.0</v>
      </c>
      <c r="AE154" s="88" t="s">
        <v>270</v>
      </c>
      <c r="AH154" s="87" t="s">
        <v>1195</v>
      </c>
      <c r="AN154" s="88">
        <v>314719.0</v>
      </c>
      <c r="AO154" s="88">
        <v>36293.0</v>
      </c>
      <c r="AP154" s="88">
        <v>36293.0</v>
      </c>
      <c r="AQ154" s="88">
        <v>13.903</v>
      </c>
      <c r="AS154" s="88">
        <v>979.0</v>
      </c>
      <c r="AT154" s="88">
        <v>206.0</v>
      </c>
      <c r="AU154" s="88">
        <v>4.752</v>
      </c>
      <c r="AV154" s="88">
        <v>75.759</v>
      </c>
      <c r="AW154" s="88" t="s">
        <v>438</v>
      </c>
      <c r="AX154" s="88">
        <v>2.746</v>
      </c>
      <c r="AY154" s="88">
        <v>1.0</v>
      </c>
      <c r="AZ154" s="88">
        <v>1.0</v>
      </c>
      <c r="BB154" s="88">
        <v>541.0</v>
      </c>
      <c r="BC154" s="88">
        <v>180.0</v>
      </c>
      <c r="BD154" s="88">
        <v>0.0</v>
      </c>
      <c r="BE154" s="88">
        <v>99.45</v>
      </c>
      <c r="BF154" s="88">
        <v>91.0</v>
      </c>
      <c r="BG154" s="88">
        <v>41.0</v>
      </c>
      <c r="BH154" s="88">
        <v>0.0</v>
      </c>
      <c r="BI154" s="88">
        <v>28.0</v>
      </c>
      <c r="BJ154" s="88">
        <v>9.0</v>
      </c>
      <c r="BK154" s="88">
        <v>0.0</v>
      </c>
      <c r="BP154" s="88" t="s">
        <v>1201</v>
      </c>
      <c r="BQ154" s="88">
        <v>0.148</v>
      </c>
      <c r="BV154" s="88" t="s">
        <v>273</v>
      </c>
      <c r="BW154" s="88">
        <v>1.1</v>
      </c>
      <c r="BX154" s="88">
        <v>10.0</v>
      </c>
      <c r="BY154" s="88">
        <v>6.0</v>
      </c>
      <c r="BZ154" s="88">
        <v>0.67</v>
      </c>
      <c r="CA154" s="88">
        <v>0.0</v>
      </c>
      <c r="CB154" s="88">
        <v>36.0</v>
      </c>
      <c r="CC154" s="88">
        <v>0.0</v>
      </c>
      <c r="CI154" s="87" t="s">
        <v>1195</v>
      </c>
      <c r="CJ154" s="89">
        <v>46037.65892361111</v>
      </c>
    </row>
    <row r="155">
      <c r="A155" s="87" t="s">
        <v>1202</v>
      </c>
      <c r="B155" s="88" t="s">
        <v>336</v>
      </c>
      <c r="C155" s="88" t="s">
        <v>337</v>
      </c>
      <c r="E155" s="88" t="s">
        <v>260</v>
      </c>
      <c r="F155" s="88"/>
      <c r="G155" s="88" t="s">
        <v>261</v>
      </c>
      <c r="H155" s="88">
        <v>200.0</v>
      </c>
      <c r="I155" s="88" t="s">
        <v>262</v>
      </c>
      <c r="J155" s="88" t="s">
        <v>263</v>
      </c>
      <c r="L155" s="88" t="s">
        <v>1203</v>
      </c>
      <c r="M155" s="88">
        <v>85.0</v>
      </c>
      <c r="N155" s="88">
        <v>788.0</v>
      </c>
      <c r="O155" s="88" t="s">
        <v>1204</v>
      </c>
      <c r="P155" s="88">
        <v>130.0</v>
      </c>
      <c r="Q155" s="88">
        <v>786.0</v>
      </c>
      <c r="R155" s="88" t="s">
        <v>1204</v>
      </c>
      <c r="S155" s="88">
        <v>130.0</v>
      </c>
      <c r="T155" s="88">
        <v>786.0</v>
      </c>
      <c r="V155" s="88">
        <v>0.0</v>
      </c>
      <c r="W155" s="88" t="s">
        <v>1205</v>
      </c>
      <c r="X155" s="88">
        <v>69.0</v>
      </c>
      <c r="Z155" s="88">
        <v>0.0</v>
      </c>
      <c r="AA155" s="88" t="s">
        <v>287</v>
      </c>
      <c r="AB155" s="88">
        <v>16.0</v>
      </c>
      <c r="AC155" s="88" t="s">
        <v>288</v>
      </c>
      <c r="AD155" s="88">
        <v>34.0</v>
      </c>
      <c r="AE155" s="88" t="s">
        <v>270</v>
      </c>
      <c r="AH155" s="87" t="s">
        <v>1202</v>
      </c>
      <c r="AN155" s="88">
        <v>191782.0</v>
      </c>
      <c r="AO155" s="88">
        <v>34412.0</v>
      </c>
      <c r="AP155" s="88">
        <v>34412.0</v>
      </c>
      <c r="AQ155" s="88">
        <v>13.183</v>
      </c>
      <c r="AS155" s="88">
        <v>2452.0</v>
      </c>
      <c r="AT155" s="88">
        <v>395.0</v>
      </c>
      <c r="AU155" s="88">
        <v>6.208</v>
      </c>
      <c r="AV155" s="88">
        <v>28.988</v>
      </c>
      <c r="AW155" s="88" t="s">
        <v>373</v>
      </c>
      <c r="AX155" s="88">
        <v>10.868</v>
      </c>
      <c r="AY155" s="88">
        <v>3.0</v>
      </c>
      <c r="AZ155" s="88">
        <v>1.0</v>
      </c>
      <c r="BB155" s="88">
        <v>5.0</v>
      </c>
      <c r="BC155" s="88">
        <v>3.0</v>
      </c>
      <c r="BD155" s="88">
        <v>0.0</v>
      </c>
      <c r="BE155" s="88">
        <v>1.66</v>
      </c>
      <c r="BF155" s="88">
        <v>127.0</v>
      </c>
      <c r="BG155" s="88">
        <v>50.0</v>
      </c>
      <c r="BH155" s="88">
        <v>0.0</v>
      </c>
      <c r="BI155" s="88">
        <v>28.0</v>
      </c>
      <c r="BJ155" s="88">
        <v>15.0</v>
      </c>
      <c r="BK155" s="88">
        <v>0.0</v>
      </c>
      <c r="BP155" s="88" t="s">
        <v>1206</v>
      </c>
      <c r="BQ155" s="88">
        <v>0.143</v>
      </c>
      <c r="BV155" s="88" t="s">
        <v>273</v>
      </c>
      <c r="BW155" s="88">
        <v>1.1</v>
      </c>
      <c r="CI155" s="87" t="s">
        <v>1202</v>
      </c>
      <c r="CJ155" s="89">
        <v>46037.659050925926</v>
      </c>
    </row>
    <row r="156">
      <c r="A156" s="87" t="s">
        <v>1207</v>
      </c>
      <c r="D156" s="88">
        <v>6.0</v>
      </c>
      <c r="E156" s="88" t="s">
        <v>260</v>
      </c>
      <c r="F156" s="88"/>
      <c r="G156" s="88" t="s">
        <v>261</v>
      </c>
      <c r="H156" s="88">
        <v>200.0</v>
      </c>
      <c r="I156" s="88" t="s">
        <v>262</v>
      </c>
      <c r="J156" s="88" t="s">
        <v>263</v>
      </c>
      <c r="L156" s="88" t="s">
        <v>1208</v>
      </c>
      <c r="M156" s="88">
        <v>39.0</v>
      </c>
      <c r="N156" s="88">
        <v>356.0</v>
      </c>
      <c r="O156" s="88" t="s">
        <v>1209</v>
      </c>
      <c r="P156" s="88">
        <v>157.0</v>
      </c>
      <c r="Q156" s="88">
        <v>987.0</v>
      </c>
      <c r="R156" s="88" t="s">
        <v>1209</v>
      </c>
      <c r="S156" s="88">
        <v>157.0</v>
      </c>
      <c r="T156" s="88">
        <v>987.0</v>
      </c>
      <c r="V156" s="88">
        <v>0.0</v>
      </c>
      <c r="W156" s="88" t="s">
        <v>1210</v>
      </c>
      <c r="X156" s="88">
        <v>40.0</v>
      </c>
      <c r="Z156" s="88">
        <v>0.0</v>
      </c>
      <c r="AA156" s="88" t="s">
        <v>1211</v>
      </c>
      <c r="AB156" s="88">
        <v>50.0</v>
      </c>
      <c r="AC156" s="88" t="s">
        <v>1212</v>
      </c>
      <c r="AD156" s="88">
        <v>45.0</v>
      </c>
      <c r="AE156" s="88" t="s">
        <v>270</v>
      </c>
      <c r="AH156" s="87" t="s">
        <v>1207</v>
      </c>
      <c r="AN156" s="88">
        <v>143435.0</v>
      </c>
      <c r="AO156" s="88">
        <v>24760.0</v>
      </c>
      <c r="AP156" s="88">
        <v>24760.0</v>
      </c>
      <c r="AQ156" s="88">
        <v>9.485</v>
      </c>
      <c r="AS156" s="88">
        <v>516.0</v>
      </c>
      <c r="AT156" s="88">
        <v>83.0</v>
      </c>
      <c r="AU156" s="88">
        <v>6.217</v>
      </c>
      <c r="AV156" s="88">
        <v>33.456</v>
      </c>
      <c r="AW156" s="88" t="s">
        <v>280</v>
      </c>
      <c r="AX156" s="88">
        <v>4.805</v>
      </c>
      <c r="AY156" s="88">
        <v>1.0</v>
      </c>
      <c r="AZ156" s="88">
        <v>1.0</v>
      </c>
      <c r="BB156" s="88">
        <v>543.0</v>
      </c>
      <c r="BC156" s="88">
        <v>180.0</v>
      </c>
      <c r="BD156" s="88">
        <v>0.0</v>
      </c>
      <c r="BE156" s="88">
        <v>99.45</v>
      </c>
      <c r="BF156" s="88">
        <v>98.0</v>
      </c>
      <c r="BG156" s="88">
        <v>41.0</v>
      </c>
      <c r="BH156" s="88">
        <v>0.0</v>
      </c>
      <c r="BI156" s="88">
        <v>2.0</v>
      </c>
      <c r="BJ156" s="88">
        <v>2.0</v>
      </c>
      <c r="BK156" s="88">
        <v>0.0</v>
      </c>
      <c r="BP156" s="88" t="s">
        <v>1213</v>
      </c>
      <c r="BQ156" s="88">
        <v>0.104</v>
      </c>
      <c r="BV156" s="88" t="s">
        <v>273</v>
      </c>
      <c r="BW156" s="88">
        <v>1.1</v>
      </c>
      <c r="BX156" s="88">
        <v>7.0</v>
      </c>
      <c r="BY156" s="88">
        <v>2.0</v>
      </c>
      <c r="BZ156" s="88">
        <v>0.33</v>
      </c>
      <c r="CA156" s="88">
        <v>0.0</v>
      </c>
      <c r="CB156" s="88">
        <v>25.0</v>
      </c>
      <c r="CC156" s="88">
        <v>0.0</v>
      </c>
      <c r="CI156" s="87" t="s">
        <v>1207</v>
      </c>
      <c r="CJ156" s="89">
        <v>46037.65892361111</v>
      </c>
    </row>
    <row r="157">
      <c r="A157" s="87" t="s">
        <v>1214</v>
      </c>
      <c r="D157" s="88">
        <v>1.0</v>
      </c>
      <c r="E157" s="88" t="s">
        <v>345</v>
      </c>
      <c r="F157" s="90" t="s">
        <v>579</v>
      </c>
      <c r="G157" s="88" t="s">
        <v>261</v>
      </c>
      <c r="H157" s="88">
        <v>200.0</v>
      </c>
      <c r="I157" s="88" t="s">
        <v>262</v>
      </c>
      <c r="J157" s="88" t="s">
        <v>263</v>
      </c>
      <c r="L157" s="88" t="s">
        <v>1215</v>
      </c>
      <c r="M157" s="88">
        <v>65.0</v>
      </c>
      <c r="N157" s="88">
        <v>601.0</v>
      </c>
      <c r="O157" s="88" t="s">
        <v>1216</v>
      </c>
      <c r="P157" s="88">
        <v>133.0</v>
      </c>
      <c r="Q157" s="88">
        <v>844.0</v>
      </c>
      <c r="S157" s="88">
        <v>0.0</v>
      </c>
      <c r="T157" s="88">
        <v>0.0</v>
      </c>
      <c r="V157" s="88">
        <v>0.0</v>
      </c>
      <c r="W157" s="88" t="s">
        <v>1215</v>
      </c>
      <c r="X157" s="88">
        <v>65.0</v>
      </c>
      <c r="Z157" s="88">
        <v>0.0</v>
      </c>
      <c r="AA157" s="88" t="s">
        <v>287</v>
      </c>
      <c r="AB157" s="88">
        <v>16.0</v>
      </c>
      <c r="AC157" s="88" t="s">
        <v>288</v>
      </c>
      <c r="AD157" s="88">
        <v>34.0</v>
      </c>
      <c r="AE157" s="88" t="s">
        <v>270</v>
      </c>
      <c r="AH157" s="87" t="s">
        <v>1214</v>
      </c>
      <c r="AN157" s="88">
        <v>181893.0</v>
      </c>
      <c r="AO157" s="88">
        <v>32286.0</v>
      </c>
      <c r="AP157" s="88">
        <v>32286.0</v>
      </c>
      <c r="AQ157" s="88">
        <v>12.368</v>
      </c>
      <c r="AS157" s="88">
        <v>1739.0</v>
      </c>
      <c r="AT157" s="88">
        <v>260.0</v>
      </c>
      <c r="AU157" s="88">
        <v>6.688</v>
      </c>
      <c r="AV157" s="88">
        <v>54.295</v>
      </c>
      <c r="AW157" s="88" t="s">
        <v>304</v>
      </c>
      <c r="AX157" s="88">
        <v>7.955</v>
      </c>
      <c r="AY157" s="88">
        <v>2.0</v>
      </c>
      <c r="AZ157" s="88">
        <v>1.0</v>
      </c>
      <c r="BB157" s="88">
        <v>688.0</v>
      </c>
      <c r="BC157" s="88">
        <v>115.0</v>
      </c>
      <c r="BD157" s="88">
        <v>0.0</v>
      </c>
      <c r="BE157" s="88">
        <v>63.54</v>
      </c>
      <c r="BF157" s="88">
        <v>132.0</v>
      </c>
      <c r="BG157" s="88">
        <v>51.0</v>
      </c>
      <c r="BH157" s="88">
        <v>0.0</v>
      </c>
      <c r="BI157" s="88">
        <v>13.0</v>
      </c>
      <c r="BJ157" s="88">
        <v>8.0</v>
      </c>
      <c r="BK157" s="88">
        <v>0.0</v>
      </c>
      <c r="BP157" s="88" t="s">
        <v>1217</v>
      </c>
      <c r="BQ157" s="88">
        <v>0.065</v>
      </c>
      <c r="BV157" s="88" t="s">
        <v>273</v>
      </c>
      <c r="BW157" s="88">
        <v>1.1</v>
      </c>
      <c r="BX157" s="88">
        <v>1.0</v>
      </c>
      <c r="BY157" s="88">
        <v>0.0</v>
      </c>
      <c r="BZ157" s="88">
        <v>0.0</v>
      </c>
      <c r="CA157" s="88">
        <v>0.0</v>
      </c>
      <c r="CB157" s="88">
        <v>3.0</v>
      </c>
      <c r="CC157" s="88">
        <v>0.0</v>
      </c>
      <c r="CI157" s="87" t="s">
        <v>1214</v>
      </c>
      <c r="CJ157" s="89">
        <v>46037.65895833333</v>
      </c>
    </row>
    <row r="158">
      <c r="A158" s="87" t="s">
        <v>1218</v>
      </c>
      <c r="D158" s="88">
        <v>36.0</v>
      </c>
      <c r="E158" s="88" t="s">
        <v>260</v>
      </c>
      <c r="F158" s="88"/>
      <c r="G158" s="88" t="s">
        <v>261</v>
      </c>
      <c r="H158" s="88">
        <v>200.0</v>
      </c>
      <c r="I158" s="88" t="s">
        <v>262</v>
      </c>
      <c r="J158" s="88" t="s">
        <v>263</v>
      </c>
      <c r="L158" s="88" t="s">
        <v>1219</v>
      </c>
      <c r="M158" s="88">
        <v>33.0</v>
      </c>
      <c r="N158" s="88">
        <v>283.0</v>
      </c>
      <c r="O158" s="88" t="s">
        <v>1220</v>
      </c>
      <c r="P158" s="88">
        <v>40.0</v>
      </c>
      <c r="Q158" s="88">
        <v>243.0</v>
      </c>
      <c r="R158" s="88" t="s">
        <v>1220</v>
      </c>
      <c r="S158" s="88">
        <v>40.0</v>
      </c>
      <c r="T158" s="88">
        <v>243.0</v>
      </c>
      <c r="V158" s="88">
        <v>0.0</v>
      </c>
      <c r="W158" s="88" t="s">
        <v>1221</v>
      </c>
      <c r="X158" s="88">
        <v>17.0</v>
      </c>
      <c r="Z158" s="88">
        <v>0.0</v>
      </c>
      <c r="AA158" s="88" t="s">
        <v>427</v>
      </c>
      <c r="AB158" s="88">
        <v>46.0</v>
      </c>
      <c r="AC158" s="88" t="s">
        <v>428</v>
      </c>
      <c r="AD158" s="88">
        <v>16.0</v>
      </c>
      <c r="AE158" s="88" t="s">
        <v>270</v>
      </c>
      <c r="AH158" s="87" t="s">
        <v>1218</v>
      </c>
      <c r="AN158" s="88">
        <v>137745.0</v>
      </c>
      <c r="AO158" s="88">
        <v>23901.0</v>
      </c>
      <c r="AP158" s="88">
        <v>23901.0</v>
      </c>
      <c r="AQ158" s="88">
        <v>9.156</v>
      </c>
      <c r="AS158" s="88">
        <v>57.0</v>
      </c>
      <c r="AT158" s="88">
        <v>11.0</v>
      </c>
      <c r="AU158" s="88">
        <v>5.182</v>
      </c>
      <c r="AV158" s="88">
        <v>47.218</v>
      </c>
      <c r="AW158" s="88" t="s">
        <v>280</v>
      </c>
      <c r="AX158" s="88">
        <v>2.555</v>
      </c>
      <c r="AY158" s="88">
        <v>1.0</v>
      </c>
      <c r="AZ158" s="88">
        <v>1.0</v>
      </c>
      <c r="BB158" s="88">
        <v>385.0</v>
      </c>
      <c r="BC158" s="88">
        <v>180.0</v>
      </c>
      <c r="BD158" s="88">
        <v>0.0</v>
      </c>
      <c r="BE158" s="88">
        <v>99.45</v>
      </c>
      <c r="BF158" s="88">
        <v>116.0</v>
      </c>
      <c r="BG158" s="88">
        <v>65.0</v>
      </c>
      <c r="BH158" s="88">
        <v>0.0</v>
      </c>
      <c r="BI158" s="88">
        <v>2.0</v>
      </c>
      <c r="BJ158" s="88">
        <v>2.0</v>
      </c>
      <c r="BK158" s="88">
        <v>0.0</v>
      </c>
      <c r="BP158" s="88" t="s">
        <v>1222</v>
      </c>
      <c r="BQ158" s="88">
        <v>0.253</v>
      </c>
      <c r="BV158" s="88" t="s">
        <v>273</v>
      </c>
      <c r="BW158" s="88">
        <v>1.1</v>
      </c>
      <c r="BX158" s="88">
        <v>60.0</v>
      </c>
      <c r="BY158" s="88">
        <v>14.0</v>
      </c>
      <c r="BZ158" s="88">
        <v>0.39</v>
      </c>
      <c r="CA158" s="88">
        <v>0.0</v>
      </c>
      <c r="CB158" s="88">
        <v>158.0</v>
      </c>
      <c r="CC158" s="88">
        <v>0.0</v>
      </c>
      <c r="CI158" s="87" t="s">
        <v>1218</v>
      </c>
      <c r="CJ158" s="89">
        <v>46037.65892361111</v>
      </c>
    </row>
    <row r="159">
      <c r="A159" s="87" t="s">
        <v>1223</v>
      </c>
      <c r="F159" s="88"/>
      <c r="G159" s="88" t="s">
        <v>261</v>
      </c>
      <c r="H159" s="88">
        <v>200.0</v>
      </c>
      <c r="I159" s="88" t="s">
        <v>262</v>
      </c>
      <c r="J159" s="88" t="s">
        <v>263</v>
      </c>
      <c r="L159" s="88" t="s">
        <v>1224</v>
      </c>
      <c r="M159" s="88">
        <v>64.0</v>
      </c>
      <c r="N159" s="88">
        <v>598.0</v>
      </c>
      <c r="O159" s="88" t="s">
        <v>1225</v>
      </c>
      <c r="P159" s="88">
        <v>188.0</v>
      </c>
      <c r="Q159" s="88">
        <v>1133.0</v>
      </c>
      <c r="R159" s="88" t="s">
        <v>1226</v>
      </c>
      <c r="S159" s="88">
        <v>109.0</v>
      </c>
      <c r="T159" s="88">
        <v>665.0</v>
      </c>
      <c r="V159" s="88">
        <v>0.0</v>
      </c>
      <c r="W159" s="88" t="s">
        <v>1227</v>
      </c>
      <c r="X159" s="88">
        <v>63.0</v>
      </c>
      <c r="Z159" s="88">
        <v>0.0</v>
      </c>
      <c r="AA159" s="88" t="s">
        <v>287</v>
      </c>
      <c r="AB159" s="88">
        <v>16.0</v>
      </c>
      <c r="AC159" s="88" t="s">
        <v>288</v>
      </c>
      <c r="AD159" s="88">
        <v>34.0</v>
      </c>
      <c r="AE159" s="88" t="s">
        <v>270</v>
      </c>
      <c r="AH159" s="87" t="s">
        <v>1223</v>
      </c>
      <c r="AN159" s="88">
        <v>192428.0</v>
      </c>
      <c r="AO159" s="88">
        <v>35762.0</v>
      </c>
      <c r="AP159" s="88">
        <v>35762.0</v>
      </c>
      <c r="AQ159" s="88">
        <v>13.7</v>
      </c>
      <c r="AS159" s="88">
        <v>2980.0</v>
      </c>
      <c r="AT159" s="88">
        <v>457.0</v>
      </c>
      <c r="AU159" s="88">
        <v>6.521</v>
      </c>
      <c r="AV159" s="88">
        <v>40.555</v>
      </c>
      <c r="AW159" s="88" t="s">
        <v>280</v>
      </c>
      <c r="AX159" s="88">
        <v>12.272</v>
      </c>
      <c r="AY159" s="88">
        <v>5.0</v>
      </c>
      <c r="AZ159" s="88">
        <v>1.0</v>
      </c>
      <c r="BB159" s="88">
        <v>4.0</v>
      </c>
      <c r="BC159" s="88">
        <v>2.0</v>
      </c>
      <c r="BD159" s="88">
        <v>0.0</v>
      </c>
      <c r="BE159" s="88">
        <v>1.1</v>
      </c>
      <c r="BF159" s="88">
        <v>130.0</v>
      </c>
      <c r="BG159" s="88">
        <v>53.0</v>
      </c>
      <c r="BH159" s="88">
        <v>0.0</v>
      </c>
      <c r="BI159" s="88">
        <v>21.0</v>
      </c>
      <c r="BJ159" s="88">
        <v>12.0</v>
      </c>
      <c r="BK159" s="88">
        <v>0.0</v>
      </c>
      <c r="BP159" s="88" t="s">
        <v>1228</v>
      </c>
      <c r="BQ159" s="88">
        <v>0.156</v>
      </c>
      <c r="BV159" s="88" t="s">
        <v>273</v>
      </c>
      <c r="BW159" s="88">
        <v>1.1</v>
      </c>
      <c r="CI159" s="87" t="s">
        <v>1223</v>
      </c>
      <c r="CJ159" s="89">
        <v>46037.65940972222</v>
      </c>
    </row>
    <row r="160">
      <c r="A160" s="87" t="s">
        <v>1229</v>
      </c>
      <c r="F160" s="88"/>
      <c r="G160" s="88" t="s">
        <v>261</v>
      </c>
      <c r="H160" s="88">
        <v>200.0</v>
      </c>
      <c r="I160" s="88" t="s">
        <v>262</v>
      </c>
      <c r="J160" s="88" t="s">
        <v>263</v>
      </c>
      <c r="L160" s="88" t="s">
        <v>1230</v>
      </c>
      <c r="M160" s="88">
        <v>66.0</v>
      </c>
      <c r="N160" s="88">
        <v>630.0</v>
      </c>
      <c r="O160" s="88" t="s">
        <v>1231</v>
      </c>
      <c r="P160" s="88">
        <v>175.0</v>
      </c>
      <c r="Q160" s="88">
        <v>1107.0</v>
      </c>
      <c r="R160" s="88" t="s">
        <v>1232</v>
      </c>
      <c r="S160" s="88">
        <v>111.0</v>
      </c>
      <c r="T160" s="88">
        <v>696.0</v>
      </c>
      <c r="V160" s="88">
        <v>0.0</v>
      </c>
      <c r="W160" s="88" t="s">
        <v>1233</v>
      </c>
      <c r="X160" s="88">
        <v>53.0</v>
      </c>
      <c r="Z160" s="88">
        <v>0.0</v>
      </c>
      <c r="AA160" s="88" t="s">
        <v>287</v>
      </c>
      <c r="AB160" s="88">
        <v>16.0</v>
      </c>
      <c r="AC160" s="88" t="s">
        <v>288</v>
      </c>
      <c r="AD160" s="88">
        <v>34.0</v>
      </c>
      <c r="AE160" s="88" t="s">
        <v>270</v>
      </c>
      <c r="AH160" s="87" t="s">
        <v>1229</v>
      </c>
      <c r="AN160" s="88">
        <v>191419.0</v>
      </c>
      <c r="AO160" s="88">
        <v>35472.0</v>
      </c>
      <c r="AP160" s="88">
        <v>35472.0</v>
      </c>
      <c r="AQ160" s="88">
        <v>13.589</v>
      </c>
      <c r="AS160" s="88">
        <v>2852.0</v>
      </c>
      <c r="AT160" s="88">
        <v>455.0</v>
      </c>
      <c r="AU160" s="88">
        <v>6.268</v>
      </c>
      <c r="AV160" s="88">
        <v>48.863</v>
      </c>
      <c r="AW160" s="88" t="s">
        <v>280</v>
      </c>
      <c r="AX160" s="88">
        <v>11.512</v>
      </c>
      <c r="AY160" s="88">
        <v>3.0</v>
      </c>
      <c r="AZ160" s="88">
        <v>1.0</v>
      </c>
      <c r="BB160" s="88">
        <v>4.0</v>
      </c>
      <c r="BC160" s="88">
        <v>2.0</v>
      </c>
      <c r="BD160" s="88">
        <v>0.0</v>
      </c>
      <c r="BE160" s="88">
        <v>1.1</v>
      </c>
      <c r="BF160" s="88">
        <v>130.0</v>
      </c>
      <c r="BG160" s="88">
        <v>53.0</v>
      </c>
      <c r="BH160" s="88">
        <v>0.0</v>
      </c>
      <c r="BI160" s="88">
        <v>21.0</v>
      </c>
      <c r="BJ160" s="88">
        <v>12.0</v>
      </c>
      <c r="BK160" s="88">
        <v>0.0</v>
      </c>
      <c r="BP160" s="88" t="s">
        <v>1234</v>
      </c>
      <c r="BQ160" s="88">
        <v>0.254</v>
      </c>
      <c r="BV160" s="88" t="s">
        <v>273</v>
      </c>
      <c r="BW160" s="88">
        <v>1.1</v>
      </c>
      <c r="CI160" s="87" t="s">
        <v>1229</v>
      </c>
      <c r="CJ160" s="89">
        <v>46037.6590625</v>
      </c>
    </row>
    <row r="161">
      <c r="A161" s="87" t="s">
        <v>1235</v>
      </c>
      <c r="B161" s="88" t="s">
        <v>336</v>
      </c>
      <c r="C161" s="88" t="s">
        <v>337</v>
      </c>
      <c r="E161" s="88" t="s">
        <v>754</v>
      </c>
      <c r="F161" s="88"/>
      <c r="G161" s="88" t="s">
        <v>261</v>
      </c>
      <c r="H161" s="88">
        <v>200.0</v>
      </c>
      <c r="I161" s="88" t="s">
        <v>262</v>
      </c>
      <c r="J161" s="88" t="s">
        <v>263</v>
      </c>
      <c r="L161" s="88" t="s">
        <v>1236</v>
      </c>
      <c r="M161" s="88">
        <v>82.0</v>
      </c>
      <c r="N161" s="88">
        <v>775.0</v>
      </c>
      <c r="O161" s="88" t="s">
        <v>1237</v>
      </c>
      <c r="P161" s="88">
        <v>129.0</v>
      </c>
      <c r="Q161" s="88">
        <v>798.0</v>
      </c>
      <c r="R161" s="88" t="s">
        <v>1237</v>
      </c>
      <c r="S161" s="88">
        <v>129.0</v>
      </c>
      <c r="T161" s="88">
        <v>798.0</v>
      </c>
      <c r="V161" s="88">
        <v>0.0</v>
      </c>
      <c r="W161" s="88" t="s">
        <v>1238</v>
      </c>
      <c r="X161" s="88">
        <v>66.0</v>
      </c>
      <c r="Z161" s="88">
        <v>0.0</v>
      </c>
      <c r="AA161" s="88" t="s">
        <v>287</v>
      </c>
      <c r="AB161" s="88">
        <v>16.0</v>
      </c>
      <c r="AC161" s="88" t="s">
        <v>288</v>
      </c>
      <c r="AD161" s="88">
        <v>34.0</v>
      </c>
      <c r="AE161" s="88" t="s">
        <v>270</v>
      </c>
      <c r="AH161" s="87" t="s">
        <v>1235</v>
      </c>
      <c r="AN161" s="88">
        <v>187733.0</v>
      </c>
      <c r="AO161" s="88">
        <v>33531.0</v>
      </c>
      <c r="AP161" s="88">
        <v>33531.0</v>
      </c>
      <c r="AQ161" s="88">
        <v>12.845</v>
      </c>
      <c r="AS161" s="88">
        <v>2062.0</v>
      </c>
      <c r="AT161" s="88">
        <v>366.0</v>
      </c>
      <c r="AU161" s="88">
        <v>5.634</v>
      </c>
      <c r="AV161" s="88">
        <v>38.645</v>
      </c>
      <c r="AW161" s="88" t="s">
        <v>280</v>
      </c>
      <c r="AX161" s="88">
        <v>9.33</v>
      </c>
      <c r="AY161" s="88">
        <v>4.0</v>
      </c>
      <c r="AZ161" s="88">
        <v>1.0</v>
      </c>
      <c r="BB161" s="88">
        <v>5.0</v>
      </c>
      <c r="BC161" s="88">
        <v>3.0</v>
      </c>
      <c r="BD161" s="88">
        <v>0.0</v>
      </c>
      <c r="BE161" s="88">
        <v>1.66</v>
      </c>
      <c r="BF161" s="88">
        <v>126.0</v>
      </c>
      <c r="BG161" s="88">
        <v>49.0</v>
      </c>
      <c r="BH161" s="88">
        <v>0.0</v>
      </c>
      <c r="BI161" s="88">
        <v>26.0</v>
      </c>
      <c r="BJ161" s="88">
        <v>11.0</v>
      </c>
      <c r="BK161" s="88">
        <v>0.0</v>
      </c>
      <c r="BP161" s="88" t="s">
        <v>1239</v>
      </c>
      <c r="BQ161" s="88">
        <v>0.175</v>
      </c>
      <c r="BV161" s="88" t="s">
        <v>273</v>
      </c>
      <c r="BW161" s="88">
        <v>1.1</v>
      </c>
      <c r="CI161" s="87" t="s">
        <v>1235</v>
      </c>
      <c r="CJ161" s="89">
        <v>46037.65912037037</v>
      </c>
    </row>
    <row r="162">
      <c r="A162" s="87" t="s">
        <v>1240</v>
      </c>
      <c r="F162" s="88"/>
      <c r="G162" s="88" t="s">
        <v>261</v>
      </c>
      <c r="H162" s="88">
        <v>200.0</v>
      </c>
      <c r="I162" s="88" t="s">
        <v>262</v>
      </c>
      <c r="J162" s="88" t="s">
        <v>263</v>
      </c>
      <c r="L162" s="88" t="s">
        <v>1241</v>
      </c>
      <c r="M162" s="88">
        <v>77.0</v>
      </c>
      <c r="N162" s="88">
        <v>724.0</v>
      </c>
      <c r="O162" s="88" t="s">
        <v>1242</v>
      </c>
      <c r="P162" s="88">
        <v>209.0</v>
      </c>
      <c r="Q162" s="88">
        <v>1295.0</v>
      </c>
      <c r="R162" s="88" t="s">
        <v>1243</v>
      </c>
      <c r="S162" s="88">
        <v>112.0</v>
      </c>
      <c r="T162" s="88">
        <v>708.0</v>
      </c>
      <c r="V162" s="88">
        <v>0.0</v>
      </c>
      <c r="W162" s="88" t="s">
        <v>1244</v>
      </c>
      <c r="X162" s="88">
        <v>55.0</v>
      </c>
      <c r="Z162" s="88">
        <v>0.0</v>
      </c>
      <c r="AA162" s="88" t="s">
        <v>287</v>
      </c>
      <c r="AB162" s="88">
        <v>16.0</v>
      </c>
      <c r="AC162" s="88" t="s">
        <v>288</v>
      </c>
      <c r="AD162" s="88">
        <v>34.0</v>
      </c>
      <c r="AE162" s="88" t="s">
        <v>270</v>
      </c>
      <c r="AH162" s="87" t="s">
        <v>1240</v>
      </c>
      <c r="AN162" s="88">
        <v>188249.0</v>
      </c>
      <c r="AO162" s="88">
        <v>34404.0</v>
      </c>
      <c r="AP162" s="88">
        <v>34404.0</v>
      </c>
      <c r="AQ162" s="88">
        <v>13.18</v>
      </c>
      <c r="AS162" s="88">
        <v>2434.0</v>
      </c>
      <c r="AT162" s="88">
        <v>377.0</v>
      </c>
      <c r="AU162" s="88">
        <v>6.456</v>
      </c>
      <c r="AV162" s="88">
        <v>43.734</v>
      </c>
      <c r="AW162" s="88" t="s">
        <v>280</v>
      </c>
      <c r="AX162" s="88">
        <v>10.385</v>
      </c>
      <c r="AY162" s="88">
        <v>5.0</v>
      </c>
      <c r="AZ162" s="88">
        <v>1.0</v>
      </c>
      <c r="BB162" s="88">
        <v>4.0</v>
      </c>
      <c r="BC162" s="88">
        <v>2.0</v>
      </c>
      <c r="BD162" s="88">
        <v>0.0</v>
      </c>
      <c r="BE162" s="88">
        <v>1.1</v>
      </c>
      <c r="BF162" s="88">
        <v>132.0</v>
      </c>
      <c r="BG162" s="88">
        <v>55.0</v>
      </c>
      <c r="BH162" s="88">
        <v>0.0</v>
      </c>
      <c r="BI162" s="88">
        <v>21.0</v>
      </c>
      <c r="BJ162" s="88">
        <v>11.0</v>
      </c>
      <c r="BK162" s="88">
        <v>0.0</v>
      </c>
      <c r="BP162" s="88" t="s">
        <v>1245</v>
      </c>
      <c r="BQ162" s="88">
        <v>0.091</v>
      </c>
      <c r="BV162" s="88" t="s">
        <v>273</v>
      </c>
      <c r="BW162" s="88">
        <v>1.1</v>
      </c>
      <c r="CI162" s="87" t="s">
        <v>1240</v>
      </c>
      <c r="CJ162" s="89">
        <v>46037.659421296295</v>
      </c>
    </row>
    <row r="163">
      <c r="A163" s="87" t="s">
        <v>1246</v>
      </c>
      <c r="D163" s="88">
        <v>1.0</v>
      </c>
      <c r="E163" s="88" t="s">
        <v>345</v>
      </c>
      <c r="F163" s="90" t="s">
        <v>579</v>
      </c>
      <c r="G163" s="88" t="s">
        <v>261</v>
      </c>
      <c r="H163" s="88">
        <v>200.0</v>
      </c>
      <c r="I163" s="88" t="s">
        <v>262</v>
      </c>
      <c r="J163" s="88" t="s">
        <v>263</v>
      </c>
      <c r="L163" s="88" t="s">
        <v>1247</v>
      </c>
      <c r="M163" s="88">
        <v>73.0</v>
      </c>
      <c r="N163" s="88">
        <v>692.0</v>
      </c>
      <c r="O163" s="88" t="s">
        <v>1248</v>
      </c>
      <c r="P163" s="88">
        <v>135.0</v>
      </c>
      <c r="Q163" s="88">
        <v>858.0</v>
      </c>
      <c r="S163" s="88">
        <v>0.0</v>
      </c>
      <c r="T163" s="88">
        <v>0.0</v>
      </c>
      <c r="V163" s="88">
        <v>0.0</v>
      </c>
      <c r="W163" s="88" t="s">
        <v>1247</v>
      </c>
      <c r="X163" s="88">
        <v>73.0</v>
      </c>
      <c r="Z163" s="88">
        <v>0.0</v>
      </c>
      <c r="AA163" s="88" t="s">
        <v>287</v>
      </c>
      <c r="AB163" s="88">
        <v>16.0</v>
      </c>
      <c r="AC163" s="88" t="s">
        <v>288</v>
      </c>
      <c r="AD163" s="88">
        <v>34.0</v>
      </c>
      <c r="AE163" s="88" t="s">
        <v>270</v>
      </c>
      <c r="AH163" s="87" t="s">
        <v>1246</v>
      </c>
      <c r="AN163" s="88">
        <v>182810.0</v>
      </c>
      <c r="AO163" s="88">
        <v>32371.0</v>
      </c>
      <c r="AP163" s="88">
        <v>32371.0</v>
      </c>
      <c r="AQ163" s="88">
        <v>12.401</v>
      </c>
      <c r="AS163" s="88">
        <v>1774.0</v>
      </c>
      <c r="AT163" s="88">
        <v>283.0</v>
      </c>
      <c r="AU163" s="88">
        <v>6.269</v>
      </c>
      <c r="AV163" s="88">
        <v>48.679</v>
      </c>
      <c r="AW163" s="88" t="s">
        <v>280</v>
      </c>
      <c r="AX163" s="88">
        <v>8.288</v>
      </c>
      <c r="AY163" s="88">
        <v>2.0</v>
      </c>
      <c r="AZ163" s="88">
        <v>1.0</v>
      </c>
      <c r="BB163" s="88">
        <v>688.0</v>
      </c>
      <c r="BC163" s="88">
        <v>115.0</v>
      </c>
      <c r="BD163" s="88">
        <v>0.0</v>
      </c>
      <c r="BE163" s="88">
        <v>63.54</v>
      </c>
      <c r="BF163" s="88">
        <v>132.0</v>
      </c>
      <c r="BG163" s="88">
        <v>51.0</v>
      </c>
      <c r="BH163" s="88">
        <v>0.0</v>
      </c>
      <c r="BI163" s="88">
        <v>12.0</v>
      </c>
      <c r="BJ163" s="88">
        <v>7.0</v>
      </c>
      <c r="BK163" s="88">
        <v>0.0</v>
      </c>
      <c r="BP163" s="88" t="s">
        <v>1249</v>
      </c>
      <c r="BQ163" s="88">
        <v>0.212</v>
      </c>
      <c r="BV163" s="88" t="s">
        <v>273</v>
      </c>
      <c r="BW163" s="88">
        <v>1.1</v>
      </c>
      <c r="BX163" s="88">
        <v>1.0</v>
      </c>
      <c r="BY163" s="88">
        <v>0.0</v>
      </c>
      <c r="BZ163" s="88">
        <v>0.0</v>
      </c>
      <c r="CA163" s="88">
        <v>0.0</v>
      </c>
      <c r="CB163" s="88">
        <v>3.0</v>
      </c>
      <c r="CC163" s="88">
        <v>0.0</v>
      </c>
      <c r="CI163" s="87" t="s">
        <v>1246</v>
      </c>
      <c r="CJ163" s="89">
        <v>46037.65895833333</v>
      </c>
    </row>
    <row r="164">
      <c r="A164" s="87" t="s">
        <v>1250</v>
      </c>
      <c r="D164" s="88">
        <v>34.0</v>
      </c>
      <c r="E164" s="88" t="s">
        <v>260</v>
      </c>
      <c r="F164" s="88"/>
      <c r="G164" s="88" t="s">
        <v>261</v>
      </c>
      <c r="H164" s="88">
        <v>200.0</v>
      </c>
      <c r="I164" s="88" t="s">
        <v>262</v>
      </c>
      <c r="J164" s="88" t="s">
        <v>263</v>
      </c>
      <c r="L164" s="88" t="s">
        <v>1251</v>
      </c>
      <c r="M164" s="88">
        <v>32.0</v>
      </c>
      <c r="N164" s="88">
        <v>281.0</v>
      </c>
      <c r="O164" s="88" t="s">
        <v>1252</v>
      </c>
      <c r="P164" s="88">
        <v>146.0</v>
      </c>
      <c r="Q164" s="88">
        <v>887.0</v>
      </c>
      <c r="R164" s="88" t="s">
        <v>1252</v>
      </c>
      <c r="S164" s="88">
        <v>146.0</v>
      </c>
      <c r="T164" s="88">
        <v>887.0</v>
      </c>
      <c r="V164" s="88">
        <v>0.0</v>
      </c>
      <c r="W164" s="88" t="s">
        <v>1253</v>
      </c>
      <c r="X164" s="88">
        <v>30.0</v>
      </c>
      <c r="Z164" s="88">
        <v>0.0</v>
      </c>
      <c r="AA164" s="88" t="s">
        <v>1254</v>
      </c>
      <c r="AB164" s="88">
        <v>36.0</v>
      </c>
      <c r="AC164" s="88" t="s">
        <v>1255</v>
      </c>
      <c r="AD164" s="88">
        <v>39.0</v>
      </c>
      <c r="AE164" s="88" t="s">
        <v>270</v>
      </c>
      <c r="AH164" s="87" t="s">
        <v>1250</v>
      </c>
      <c r="AN164" s="88">
        <v>141232.0</v>
      </c>
      <c r="AO164" s="88">
        <v>24636.0</v>
      </c>
      <c r="AP164" s="88">
        <v>24636.0</v>
      </c>
      <c r="AQ164" s="88">
        <v>9.438</v>
      </c>
      <c r="AS164" s="88">
        <v>388.0</v>
      </c>
      <c r="AT164" s="88">
        <v>62.0</v>
      </c>
      <c r="AU164" s="88">
        <v>6.258</v>
      </c>
      <c r="AV164" s="88">
        <v>62.899</v>
      </c>
      <c r="AW164" s="88" t="s">
        <v>271</v>
      </c>
      <c r="AX164" s="88">
        <v>3.611</v>
      </c>
      <c r="AY164" s="88">
        <v>1.0</v>
      </c>
      <c r="AZ164" s="88">
        <v>1.0</v>
      </c>
      <c r="BB164" s="88">
        <v>536.0</v>
      </c>
      <c r="BC164" s="88">
        <v>180.0</v>
      </c>
      <c r="BD164" s="88">
        <v>0.0</v>
      </c>
      <c r="BE164" s="88">
        <v>99.45</v>
      </c>
      <c r="BF164" s="88">
        <v>91.0</v>
      </c>
      <c r="BG164" s="88">
        <v>41.0</v>
      </c>
      <c r="BH164" s="88">
        <v>0.0</v>
      </c>
      <c r="BI164" s="88">
        <v>1.0</v>
      </c>
      <c r="BJ164" s="88">
        <v>1.0</v>
      </c>
      <c r="BK164" s="88">
        <v>0.0</v>
      </c>
      <c r="BP164" s="88" t="s">
        <v>1256</v>
      </c>
      <c r="BQ164" s="88">
        <v>0.173</v>
      </c>
      <c r="BV164" s="88" t="s">
        <v>273</v>
      </c>
      <c r="BW164" s="88">
        <v>1.1</v>
      </c>
      <c r="BX164" s="88">
        <v>56.0</v>
      </c>
      <c r="BY164" s="88">
        <v>15.0</v>
      </c>
      <c r="BZ164" s="88">
        <v>0.44</v>
      </c>
      <c r="CA164" s="88">
        <v>0.0</v>
      </c>
      <c r="CB164" s="88">
        <v>166.0</v>
      </c>
      <c r="CC164" s="88">
        <v>0.0</v>
      </c>
      <c r="CI164" s="87" t="s">
        <v>1250</v>
      </c>
      <c r="CJ164" s="89">
        <v>46037.658900462964</v>
      </c>
    </row>
    <row r="165">
      <c r="A165" s="87" t="s">
        <v>1257</v>
      </c>
      <c r="F165" s="88"/>
      <c r="G165" s="88" t="s">
        <v>261</v>
      </c>
      <c r="H165" s="88">
        <v>200.0</v>
      </c>
      <c r="I165" s="88" t="s">
        <v>262</v>
      </c>
      <c r="J165" s="88" t="s">
        <v>263</v>
      </c>
      <c r="L165" s="88" t="s">
        <v>1258</v>
      </c>
      <c r="M165" s="88">
        <v>65.0</v>
      </c>
      <c r="N165" s="88">
        <v>596.0</v>
      </c>
      <c r="O165" s="88" t="s">
        <v>1259</v>
      </c>
      <c r="P165" s="88">
        <v>161.0</v>
      </c>
      <c r="Q165" s="88">
        <v>994.0</v>
      </c>
      <c r="R165" s="88" t="s">
        <v>1260</v>
      </c>
      <c r="S165" s="88">
        <v>113.0</v>
      </c>
      <c r="T165" s="88">
        <v>712.0</v>
      </c>
      <c r="V165" s="88">
        <v>0.0</v>
      </c>
      <c r="W165" s="88" t="s">
        <v>1261</v>
      </c>
      <c r="X165" s="88">
        <v>60.0</v>
      </c>
      <c r="Z165" s="88">
        <v>0.0</v>
      </c>
      <c r="AA165" s="88" t="s">
        <v>287</v>
      </c>
      <c r="AB165" s="88">
        <v>16.0</v>
      </c>
      <c r="AC165" s="88" t="s">
        <v>288</v>
      </c>
      <c r="AD165" s="88">
        <v>34.0</v>
      </c>
      <c r="AE165" s="88" t="s">
        <v>270</v>
      </c>
      <c r="AH165" s="87" t="s">
        <v>1257</v>
      </c>
      <c r="AN165" s="88">
        <v>191738.0</v>
      </c>
      <c r="AO165" s="88">
        <v>35736.0</v>
      </c>
      <c r="AP165" s="88">
        <v>35736.0</v>
      </c>
      <c r="AQ165" s="88">
        <v>13.69</v>
      </c>
      <c r="AS165" s="88">
        <v>2948.0</v>
      </c>
      <c r="AT165" s="88">
        <v>449.0</v>
      </c>
      <c r="AU165" s="88">
        <v>6.566</v>
      </c>
      <c r="AV165" s="88">
        <v>47.874</v>
      </c>
      <c r="AW165" s="88" t="s">
        <v>280</v>
      </c>
      <c r="AX165" s="88">
        <v>11.789</v>
      </c>
      <c r="AY165" s="88">
        <v>3.0</v>
      </c>
      <c r="AZ165" s="88">
        <v>1.0</v>
      </c>
      <c r="BB165" s="88">
        <v>4.0</v>
      </c>
      <c r="BC165" s="88">
        <v>2.0</v>
      </c>
      <c r="BD165" s="88">
        <v>0.0</v>
      </c>
      <c r="BE165" s="88">
        <v>1.1</v>
      </c>
      <c r="BF165" s="88">
        <v>133.0</v>
      </c>
      <c r="BG165" s="88">
        <v>56.0</v>
      </c>
      <c r="BH165" s="88">
        <v>0.0</v>
      </c>
      <c r="BI165" s="88">
        <v>16.0</v>
      </c>
      <c r="BJ165" s="88">
        <v>10.0</v>
      </c>
      <c r="BK165" s="88">
        <v>0.0</v>
      </c>
      <c r="BP165" s="88" t="s">
        <v>1262</v>
      </c>
      <c r="BQ165" s="88">
        <v>0.143</v>
      </c>
      <c r="BV165" s="88" t="s">
        <v>273</v>
      </c>
      <c r="BW165" s="88">
        <v>1.1</v>
      </c>
      <c r="CI165" s="87" t="s">
        <v>1257</v>
      </c>
      <c r="CJ165" s="89">
        <v>46037.6590625</v>
      </c>
    </row>
    <row r="166">
      <c r="A166" s="87" t="s">
        <v>1263</v>
      </c>
      <c r="F166" s="88"/>
      <c r="G166" s="88" t="s">
        <v>261</v>
      </c>
      <c r="H166" s="88">
        <v>200.0</v>
      </c>
      <c r="I166" s="88" t="s">
        <v>262</v>
      </c>
      <c r="J166" s="88" t="s">
        <v>263</v>
      </c>
      <c r="L166" s="88" t="s">
        <v>1264</v>
      </c>
      <c r="M166" s="88">
        <v>67.0</v>
      </c>
      <c r="N166" s="88">
        <v>622.0</v>
      </c>
      <c r="O166" s="88" t="s">
        <v>1265</v>
      </c>
      <c r="P166" s="88">
        <v>170.0</v>
      </c>
      <c r="Q166" s="88">
        <v>1047.0</v>
      </c>
      <c r="R166" s="88" t="s">
        <v>1266</v>
      </c>
      <c r="S166" s="88">
        <v>121.0</v>
      </c>
      <c r="T166" s="88">
        <v>772.0</v>
      </c>
      <c r="V166" s="88">
        <v>0.0</v>
      </c>
      <c r="W166" s="88" t="s">
        <v>1267</v>
      </c>
      <c r="X166" s="88">
        <v>66.0</v>
      </c>
      <c r="Z166" s="88">
        <v>0.0</v>
      </c>
      <c r="AA166" s="88" t="s">
        <v>287</v>
      </c>
      <c r="AB166" s="88">
        <v>16.0</v>
      </c>
      <c r="AC166" s="88" t="s">
        <v>288</v>
      </c>
      <c r="AD166" s="88">
        <v>34.0</v>
      </c>
      <c r="AE166" s="88" t="s">
        <v>270</v>
      </c>
      <c r="AH166" s="87" t="s">
        <v>1263</v>
      </c>
      <c r="AN166" s="88">
        <v>186543.0</v>
      </c>
      <c r="AO166" s="88">
        <v>33927.0</v>
      </c>
      <c r="AP166" s="88">
        <v>33927.0</v>
      </c>
      <c r="AQ166" s="88">
        <v>12.997</v>
      </c>
      <c r="AS166" s="88">
        <v>2196.0</v>
      </c>
      <c r="AT166" s="88">
        <v>361.0</v>
      </c>
      <c r="AU166" s="88">
        <v>6.083</v>
      </c>
      <c r="AV166" s="88">
        <v>49.298</v>
      </c>
      <c r="AW166" s="88" t="s">
        <v>280</v>
      </c>
      <c r="AX166" s="88">
        <v>9.473</v>
      </c>
      <c r="AY166" s="88">
        <v>5.0</v>
      </c>
      <c r="AZ166" s="88">
        <v>1.0</v>
      </c>
      <c r="BB166" s="88">
        <v>4.0</v>
      </c>
      <c r="BC166" s="88">
        <v>2.0</v>
      </c>
      <c r="BD166" s="88">
        <v>0.0</v>
      </c>
      <c r="BE166" s="88">
        <v>1.1</v>
      </c>
      <c r="BF166" s="88">
        <v>131.0</v>
      </c>
      <c r="BG166" s="88">
        <v>54.0</v>
      </c>
      <c r="BH166" s="88">
        <v>0.0</v>
      </c>
      <c r="BI166" s="88">
        <v>22.0</v>
      </c>
      <c r="BJ166" s="88">
        <v>13.0</v>
      </c>
      <c r="BK166" s="88">
        <v>0.0</v>
      </c>
      <c r="BP166" s="88" t="s">
        <v>1268</v>
      </c>
      <c r="BQ166" s="88">
        <v>0.144</v>
      </c>
      <c r="BV166" s="88" t="s">
        <v>273</v>
      </c>
      <c r="BW166" s="88">
        <v>1.1</v>
      </c>
      <c r="CI166" s="87" t="s">
        <v>1263</v>
      </c>
      <c r="CJ166" s="89">
        <v>46037.65940972222</v>
      </c>
    </row>
    <row r="167">
      <c r="A167" s="87" t="s">
        <v>1269</v>
      </c>
      <c r="B167" s="88" t="s">
        <v>336</v>
      </c>
      <c r="C167" s="88" t="s">
        <v>337</v>
      </c>
      <c r="E167" s="88" t="s">
        <v>260</v>
      </c>
      <c r="F167" s="88"/>
      <c r="G167" s="88" t="s">
        <v>261</v>
      </c>
      <c r="H167" s="88">
        <v>200.0</v>
      </c>
      <c r="I167" s="88" t="s">
        <v>262</v>
      </c>
      <c r="J167" s="88" t="s">
        <v>263</v>
      </c>
      <c r="L167" s="88" t="s">
        <v>1270</v>
      </c>
      <c r="M167" s="88">
        <v>80.0</v>
      </c>
      <c r="N167" s="88">
        <v>738.0</v>
      </c>
      <c r="O167" s="88" t="s">
        <v>1271</v>
      </c>
      <c r="P167" s="88">
        <v>158.0</v>
      </c>
      <c r="Q167" s="88">
        <v>964.0</v>
      </c>
      <c r="R167" s="88" t="s">
        <v>1271</v>
      </c>
      <c r="S167" s="88">
        <v>158.0</v>
      </c>
      <c r="T167" s="88">
        <v>964.0</v>
      </c>
      <c r="V167" s="88">
        <v>0.0</v>
      </c>
      <c r="W167" s="88" t="s">
        <v>1272</v>
      </c>
      <c r="X167" s="88">
        <v>64.0</v>
      </c>
      <c r="Z167" s="88">
        <v>0.0</v>
      </c>
      <c r="AA167" s="88" t="s">
        <v>287</v>
      </c>
      <c r="AB167" s="88">
        <v>16.0</v>
      </c>
      <c r="AC167" s="88" t="s">
        <v>288</v>
      </c>
      <c r="AD167" s="88">
        <v>34.0</v>
      </c>
      <c r="AE167" s="88" t="s">
        <v>270</v>
      </c>
      <c r="AH167" s="87" t="s">
        <v>1269</v>
      </c>
      <c r="AN167" s="88">
        <v>190265.0</v>
      </c>
      <c r="AO167" s="88">
        <v>34387.0</v>
      </c>
      <c r="AP167" s="88">
        <v>34387.0</v>
      </c>
      <c r="AQ167" s="88">
        <v>13.173</v>
      </c>
      <c r="AS167" s="88">
        <v>2496.0</v>
      </c>
      <c r="AT167" s="88">
        <v>379.0</v>
      </c>
      <c r="AU167" s="88">
        <v>6.586</v>
      </c>
      <c r="AV167" s="88">
        <v>36.136</v>
      </c>
      <c r="AW167" s="88" t="s">
        <v>280</v>
      </c>
      <c r="AX167" s="88">
        <v>10.835</v>
      </c>
      <c r="AY167" s="88">
        <v>4.0</v>
      </c>
      <c r="AZ167" s="88">
        <v>1.0</v>
      </c>
      <c r="BB167" s="88">
        <v>4.0</v>
      </c>
      <c r="BC167" s="88">
        <v>2.0</v>
      </c>
      <c r="BD167" s="88">
        <v>0.0</v>
      </c>
      <c r="BE167" s="88">
        <v>1.1</v>
      </c>
      <c r="BF167" s="88">
        <v>133.0</v>
      </c>
      <c r="BG167" s="88">
        <v>54.0</v>
      </c>
      <c r="BH167" s="88">
        <v>0.0</v>
      </c>
      <c r="BI167" s="88">
        <v>13.0</v>
      </c>
      <c r="BJ167" s="88">
        <v>8.0</v>
      </c>
      <c r="BK167" s="88">
        <v>0.0</v>
      </c>
      <c r="BP167" s="88" t="s">
        <v>1273</v>
      </c>
      <c r="BQ167" s="88">
        <v>0.144</v>
      </c>
      <c r="BV167" s="88" t="s">
        <v>273</v>
      </c>
      <c r="BW167" s="88">
        <v>1.1</v>
      </c>
      <c r="CI167" s="87" t="s">
        <v>1269</v>
      </c>
      <c r="CJ167" s="89">
        <v>46037.659212962964</v>
      </c>
    </row>
    <row r="168">
      <c r="A168" s="87" t="s">
        <v>1274</v>
      </c>
      <c r="B168" s="88" t="s">
        <v>336</v>
      </c>
      <c r="C168" s="88" t="s">
        <v>337</v>
      </c>
      <c r="E168" s="88" t="s">
        <v>345</v>
      </c>
      <c r="F168" s="87" t="s">
        <v>477</v>
      </c>
      <c r="G168" s="88" t="s">
        <v>261</v>
      </c>
      <c r="H168" s="88">
        <v>200.0</v>
      </c>
      <c r="I168" s="88" t="s">
        <v>262</v>
      </c>
      <c r="J168" s="88" t="s">
        <v>263</v>
      </c>
      <c r="L168" s="88" t="s">
        <v>1275</v>
      </c>
      <c r="M168" s="88">
        <v>73.0</v>
      </c>
      <c r="N168" s="88">
        <v>658.0</v>
      </c>
      <c r="O168" s="88" t="s">
        <v>1276</v>
      </c>
      <c r="P168" s="88">
        <v>132.0</v>
      </c>
      <c r="Q168" s="88">
        <v>811.0</v>
      </c>
      <c r="R168" s="88" t="s">
        <v>1276</v>
      </c>
      <c r="S168" s="88">
        <v>132.0</v>
      </c>
      <c r="T168" s="88">
        <v>811.0</v>
      </c>
      <c r="V168" s="88">
        <v>0.0</v>
      </c>
      <c r="X168" s="88">
        <v>0.0</v>
      </c>
      <c r="Z168" s="88">
        <v>0.0</v>
      </c>
      <c r="AA168" s="88" t="s">
        <v>1277</v>
      </c>
      <c r="AB168" s="88">
        <v>24.0</v>
      </c>
      <c r="AC168" s="88" t="s">
        <v>1278</v>
      </c>
      <c r="AD168" s="88">
        <v>44.0</v>
      </c>
      <c r="AE168" s="88" t="s">
        <v>270</v>
      </c>
      <c r="AH168" s="87" t="s">
        <v>1274</v>
      </c>
      <c r="AN168" s="88">
        <v>135684.0</v>
      </c>
      <c r="AO168" s="88">
        <v>28378.0</v>
      </c>
      <c r="AP168" s="88">
        <v>28378.0</v>
      </c>
      <c r="AQ168" s="88">
        <v>10.871</v>
      </c>
      <c r="AS168" s="88">
        <v>2329.0</v>
      </c>
      <c r="AT168" s="88">
        <v>334.0</v>
      </c>
      <c r="AU168" s="88">
        <v>6.973</v>
      </c>
      <c r="AV168" s="88">
        <v>29.395</v>
      </c>
      <c r="AW168" s="88" t="s">
        <v>373</v>
      </c>
      <c r="AX168" s="88">
        <v>14.69</v>
      </c>
      <c r="AY168" s="88">
        <v>3.0</v>
      </c>
      <c r="AZ168" s="88">
        <v>1.0</v>
      </c>
      <c r="BB168" s="88">
        <v>4.0</v>
      </c>
      <c r="BC168" s="88">
        <v>2.0</v>
      </c>
      <c r="BD168" s="88">
        <v>0.0</v>
      </c>
      <c r="BE168" s="88">
        <v>1.1</v>
      </c>
      <c r="BF168" s="88">
        <v>99.0</v>
      </c>
      <c r="BG168" s="88">
        <v>48.0</v>
      </c>
      <c r="BH168" s="88">
        <v>0.0</v>
      </c>
      <c r="BI168" s="88">
        <v>12.0</v>
      </c>
      <c r="BJ168" s="88">
        <v>7.0</v>
      </c>
      <c r="BK168" s="88">
        <v>0.0</v>
      </c>
      <c r="BP168" s="88" t="s">
        <v>1279</v>
      </c>
      <c r="BQ168" s="88">
        <v>0.184</v>
      </c>
      <c r="BV168" s="88" t="s">
        <v>273</v>
      </c>
      <c r="BW168" s="88">
        <v>1.1</v>
      </c>
      <c r="CI168" s="87" t="s">
        <v>1274</v>
      </c>
      <c r="CJ168" s="89">
        <v>46037.659050925926</v>
      </c>
    </row>
    <row r="169">
      <c r="A169" s="87" t="s">
        <v>1280</v>
      </c>
      <c r="D169" s="88">
        <v>1.0</v>
      </c>
      <c r="E169" s="88" t="s">
        <v>260</v>
      </c>
      <c r="F169" s="88"/>
      <c r="G169" s="88" t="s">
        <v>261</v>
      </c>
      <c r="H169" s="88">
        <v>200.0</v>
      </c>
      <c r="I169" s="88" t="s">
        <v>262</v>
      </c>
      <c r="J169" s="88" t="s">
        <v>263</v>
      </c>
      <c r="L169" s="88" t="s">
        <v>1281</v>
      </c>
      <c r="M169" s="88">
        <v>67.0</v>
      </c>
      <c r="N169" s="88">
        <v>621.0</v>
      </c>
      <c r="O169" s="88" t="s">
        <v>1282</v>
      </c>
      <c r="P169" s="88">
        <v>165.0</v>
      </c>
      <c r="Q169" s="88">
        <v>1038.0</v>
      </c>
      <c r="R169" s="88" t="s">
        <v>1283</v>
      </c>
      <c r="S169" s="88">
        <v>98.0</v>
      </c>
      <c r="T169" s="88">
        <v>601.0</v>
      </c>
      <c r="V169" s="88">
        <v>0.0</v>
      </c>
      <c r="W169" s="88" t="s">
        <v>1284</v>
      </c>
      <c r="X169" s="88">
        <v>57.0</v>
      </c>
      <c r="Z169" s="88">
        <v>0.0</v>
      </c>
      <c r="AA169" s="88" t="s">
        <v>287</v>
      </c>
      <c r="AB169" s="88">
        <v>16.0</v>
      </c>
      <c r="AC169" s="88" t="s">
        <v>288</v>
      </c>
      <c r="AD169" s="88">
        <v>34.0</v>
      </c>
      <c r="AE169" s="88" t="s">
        <v>270</v>
      </c>
      <c r="AH169" s="87" t="s">
        <v>1280</v>
      </c>
      <c r="AN169" s="88">
        <v>184314.0</v>
      </c>
      <c r="AO169" s="88">
        <v>33403.0</v>
      </c>
      <c r="AP169" s="88">
        <v>33403.0</v>
      </c>
      <c r="AQ169" s="88">
        <v>12.796</v>
      </c>
      <c r="AS169" s="88">
        <v>2050.0</v>
      </c>
      <c r="AT169" s="88">
        <v>330.0</v>
      </c>
      <c r="AU169" s="88">
        <v>6.212</v>
      </c>
      <c r="AV169" s="88">
        <v>45.443</v>
      </c>
      <c r="AW169" s="88" t="s">
        <v>280</v>
      </c>
      <c r="AX169" s="88">
        <v>9.038</v>
      </c>
      <c r="AY169" s="88">
        <v>3.0</v>
      </c>
      <c r="AZ169" s="88">
        <v>1.0</v>
      </c>
      <c r="BB169" s="88">
        <v>4.0</v>
      </c>
      <c r="BC169" s="88">
        <v>2.0</v>
      </c>
      <c r="BD169" s="88">
        <v>0.0</v>
      </c>
      <c r="BE169" s="88">
        <v>1.1</v>
      </c>
      <c r="BF169" s="88">
        <v>129.0</v>
      </c>
      <c r="BG169" s="88">
        <v>52.0</v>
      </c>
      <c r="BH169" s="88">
        <v>0.0</v>
      </c>
      <c r="BI169" s="88">
        <v>17.0</v>
      </c>
      <c r="BJ169" s="88">
        <v>12.0</v>
      </c>
      <c r="BK169" s="88">
        <v>0.0</v>
      </c>
      <c r="BP169" s="88" t="s">
        <v>1285</v>
      </c>
      <c r="BQ169" s="88">
        <v>0.181</v>
      </c>
      <c r="BV169" s="88" t="s">
        <v>273</v>
      </c>
      <c r="BW169" s="88">
        <v>1.1</v>
      </c>
      <c r="BX169" s="88">
        <v>1.0</v>
      </c>
      <c r="BY169" s="88">
        <v>1.0</v>
      </c>
      <c r="BZ169" s="88">
        <v>1.0</v>
      </c>
      <c r="CA169" s="88">
        <v>0.0</v>
      </c>
      <c r="CB169" s="88">
        <v>4.0</v>
      </c>
      <c r="CC169" s="88">
        <v>0.0</v>
      </c>
      <c r="CI169" s="87" t="s">
        <v>1280</v>
      </c>
      <c r="CJ169" s="89">
        <v>46037.6590625</v>
      </c>
    </row>
  </sheetData>
  <autoFilter ref="$A$1:$CN$1000">
    <sortState ref="A1:CN1000">
      <sortCondition ref="A1:A1000"/>
      <sortCondition ref="F1:F1000"/>
      <sortCondition ref="E1:E1000"/>
    </sortState>
  </autoFilter>
  <hyperlinks>
    <hyperlink r:id="rId1" ref="A2"/>
    <hyperlink r:id="rId2" ref="AH2"/>
    <hyperlink r:id="rId3" ref="CI2"/>
    <hyperlink r:id="rId4" ref="A3"/>
    <hyperlink r:id="rId5" ref="AH3"/>
    <hyperlink r:id="rId6" ref="CI3"/>
    <hyperlink r:id="rId7" ref="A4"/>
    <hyperlink r:id="rId8" ref="AH4"/>
    <hyperlink r:id="rId9" ref="CI4"/>
    <hyperlink r:id="rId10" ref="A5"/>
    <hyperlink r:id="rId11" ref="AH5"/>
    <hyperlink r:id="rId12" ref="CI5"/>
    <hyperlink r:id="rId13" ref="A6"/>
    <hyperlink r:id="rId14" ref="AH6"/>
    <hyperlink r:id="rId15" ref="CI6"/>
    <hyperlink r:id="rId16" ref="A7"/>
    <hyperlink r:id="rId17" ref="AH7"/>
    <hyperlink r:id="rId18" ref="CI7"/>
    <hyperlink r:id="rId19" ref="A8"/>
    <hyperlink r:id="rId20" ref="AH8"/>
    <hyperlink r:id="rId21" ref="CI8"/>
    <hyperlink r:id="rId22" ref="A9"/>
    <hyperlink r:id="rId23" ref="F9"/>
    <hyperlink r:id="rId24" ref="AH9"/>
    <hyperlink r:id="rId25" ref="CI9"/>
    <hyperlink r:id="rId26" ref="A10"/>
    <hyperlink r:id="rId27" ref="F10"/>
    <hyperlink r:id="rId28" ref="AH10"/>
    <hyperlink r:id="rId29" ref="CI10"/>
    <hyperlink r:id="rId30" ref="A11"/>
    <hyperlink r:id="rId31" ref="F11"/>
    <hyperlink r:id="rId32" ref="AH11"/>
    <hyperlink r:id="rId33" ref="CI11"/>
    <hyperlink r:id="rId34" ref="A12"/>
    <hyperlink r:id="rId35" ref="F12"/>
    <hyperlink r:id="rId36" ref="AH12"/>
    <hyperlink r:id="rId37" ref="CI12"/>
    <hyperlink r:id="rId38" ref="A13"/>
    <hyperlink r:id="rId39" ref="F13"/>
    <hyperlink r:id="rId40" ref="AH13"/>
    <hyperlink r:id="rId41" ref="CI13"/>
    <hyperlink r:id="rId42" ref="A14"/>
    <hyperlink r:id="rId43" ref="F14"/>
    <hyperlink r:id="rId44" ref="AH14"/>
    <hyperlink r:id="rId45" ref="CI14"/>
    <hyperlink r:id="rId46" ref="A15"/>
    <hyperlink r:id="rId47" ref="F15"/>
    <hyperlink r:id="rId48" ref="AH15"/>
    <hyperlink r:id="rId49" ref="CI15"/>
    <hyperlink r:id="rId50" ref="A16"/>
    <hyperlink r:id="rId51" ref="F16"/>
    <hyperlink r:id="rId52" ref="AH16"/>
    <hyperlink r:id="rId53" ref="CI16"/>
    <hyperlink r:id="rId54" ref="A17"/>
    <hyperlink r:id="rId55" ref="F17"/>
    <hyperlink r:id="rId56" ref="AH17"/>
    <hyperlink r:id="rId57" ref="CI17"/>
    <hyperlink r:id="rId58" ref="A18"/>
    <hyperlink r:id="rId59" ref="F18"/>
    <hyperlink r:id="rId60" ref="AH18"/>
    <hyperlink r:id="rId61" ref="CI18"/>
    <hyperlink r:id="rId62" ref="A19"/>
    <hyperlink r:id="rId63" ref="AH19"/>
    <hyperlink r:id="rId64" ref="CI19"/>
    <hyperlink r:id="rId65" ref="A20"/>
    <hyperlink r:id="rId66" ref="AH20"/>
    <hyperlink r:id="rId67" ref="CI20"/>
    <hyperlink r:id="rId68" ref="A21"/>
    <hyperlink r:id="rId69" ref="AH21"/>
    <hyperlink r:id="rId70" ref="CI21"/>
    <hyperlink r:id="rId71" ref="A22"/>
    <hyperlink r:id="rId72" ref="AH22"/>
    <hyperlink r:id="rId73" ref="CI22"/>
    <hyperlink r:id="rId74" ref="A23"/>
    <hyperlink r:id="rId75" ref="F23"/>
    <hyperlink r:id="rId76" ref="AH23"/>
    <hyperlink r:id="rId77" ref="CI23"/>
    <hyperlink r:id="rId78" ref="A24"/>
    <hyperlink r:id="rId79" ref="AH24"/>
    <hyperlink r:id="rId80" ref="CI24"/>
    <hyperlink r:id="rId81" ref="A25"/>
    <hyperlink r:id="rId82" ref="AH25"/>
    <hyperlink r:id="rId83" ref="AI25"/>
    <hyperlink r:id="rId84" ref="CI25"/>
    <hyperlink r:id="rId85" ref="A26"/>
    <hyperlink r:id="rId86" ref="CI26"/>
    <hyperlink r:id="rId87" ref="A27"/>
    <hyperlink r:id="rId88" ref="F27"/>
    <hyperlink r:id="rId89" ref="AH27"/>
    <hyperlink r:id="rId90" ref="CI27"/>
    <hyperlink r:id="rId91" ref="A28"/>
    <hyperlink r:id="rId92" ref="AH28"/>
    <hyperlink r:id="rId93" ref="CI28"/>
    <hyperlink r:id="rId94" ref="A29"/>
    <hyperlink r:id="rId95" ref="CI29"/>
    <hyperlink r:id="rId96" ref="A30"/>
    <hyperlink r:id="rId97" ref="AH30"/>
    <hyperlink r:id="rId98" ref="CI30"/>
    <hyperlink r:id="rId99" ref="A31"/>
    <hyperlink r:id="rId100" ref="AH31"/>
    <hyperlink r:id="rId101" ref="CI31"/>
    <hyperlink r:id="rId102" ref="A32"/>
    <hyperlink r:id="rId103" ref="F32"/>
    <hyperlink r:id="rId104" ref="AH32"/>
    <hyperlink r:id="rId105" ref="CI32"/>
    <hyperlink r:id="rId106" ref="A33"/>
    <hyperlink r:id="rId107" ref="F33"/>
    <hyperlink r:id="rId108" ref="AH33"/>
    <hyperlink r:id="rId109" ref="CI33"/>
    <hyperlink r:id="rId110" ref="A34"/>
    <hyperlink r:id="rId111" ref="F34"/>
    <hyperlink r:id="rId112" ref="AH34"/>
    <hyperlink r:id="rId113" ref="CI34"/>
    <hyperlink r:id="rId114" ref="A35"/>
    <hyperlink r:id="rId115" ref="F35"/>
    <hyperlink r:id="rId116" ref="AH35"/>
    <hyperlink r:id="rId117" ref="CI35"/>
    <hyperlink r:id="rId118" ref="A36"/>
    <hyperlink r:id="rId119" ref="AH36"/>
    <hyperlink r:id="rId120" ref="CI36"/>
    <hyperlink r:id="rId121" ref="A37"/>
    <hyperlink r:id="rId122" ref="AH37"/>
    <hyperlink r:id="rId123" ref="CI37"/>
    <hyperlink r:id="rId124" ref="A38"/>
    <hyperlink r:id="rId125" ref="AH38"/>
    <hyperlink r:id="rId126" ref="CI38"/>
    <hyperlink r:id="rId127" ref="A39"/>
    <hyperlink r:id="rId128" ref="AH39"/>
    <hyperlink r:id="rId129" ref="CI39"/>
    <hyperlink r:id="rId130" ref="A40"/>
    <hyperlink r:id="rId131" ref="AH40"/>
    <hyperlink r:id="rId132" ref="CI40"/>
    <hyperlink r:id="rId133" ref="A41"/>
    <hyperlink r:id="rId134" ref="AH41"/>
    <hyperlink r:id="rId135" ref="CI41"/>
    <hyperlink r:id="rId136" ref="A42"/>
    <hyperlink r:id="rId137" ref="AH42"/>
    <hyperlink r:id="rId138" ref="CI42"/>
    <hyperlink r:id="rId139" ref="A43"/>
    <hyperlink r:id="rId140" ref="AH43"/>
    <hyperlink r:id="rId141" ref="CI43"/>
    <hyperlink r:id="rId142" ref="A44"/>
    <hyperlink r:id="rId143" ref="AH44"/>
    <hyperlink r:id="rId144" ref="CI44"/>
    <hyperlink r:id="rId145" ref="A45"/>
    <hyperlink r:id="rId146" ref="AH45"/>
    <hyperlink r:id="rId147" ref="CI45"/>
    <hyperlink r:id="rId148" ref="A46"/>
    <hyperlink r:id="rId149" ref="F46"/>
    <hyperlink r:id="rId150" ref="AH46"/>
    <hyperlink r:id="rId151" ref="CI46"/>
    <hyperlink r:id="rId152" ref="A47"/>
    <hyperlink r:id="rId153" ref="F47"/>
    <hyperlink r:id="rId154" ref="AH47"/>
    <hyperlink r:id="rId155" ref="CI47"/>
    <hyperlink r:id="rId156" ref="A48"/>
    <hyperlink r:id="rId157" ref="F48"/>
    <hyperlink r:id="rId158" ref="AH48"/>
    <hyperlink r:id="rId159" ref="CI48"/>
    <hyperlink r:id="rId160" ref="A49"/>
    <hyperlink r:id="rId161" ref="F49"/>
    <hyperlink r:id="rId162" ref="AH49"/>
    <hyperlink r:id="rId163" ref="CI49"/>
    <hyperlink r:id="rId164" ref="A50"/>
    <hyperlink r:id="rId165" ref="F50"/>
    <hyperlink r:id="rId166" ref="AH50"/>
    <hyperlink r:id="rId167" ref="CI50"/>
    <hyperlink r:id="rId168" ref="A51"/>
    <hyperlink r:id="rId169" ref="F51"/>
    <hyperlink r:id="rId170" ref="AH51"/>
    <hyperlink r:id="rId171" ref="CI51"/>
    <hyperlink r:id="rId172" ref="A52"/>
    <hyperlink r:id="rId173" ref="F52"/>
    <hyperlink r:id="rId174" ref="AH52"/>
    <hyperlink r:id="rId175" ref="CI52"/>
    <hyperlink r:id="rId176" ref="A53"/>
    <hyperlink r:id="rId177" ref="F53"/>
    <hyperlink r:id="rId178" ref="AH53"/>
    <hyperlink r:id="rId179" ref="CI53"/>
    <hyperlink r:id="rId180" ref="A54"/>
    <hyperlink r:id="rId181" ref="F54"/>
    <hyperlink r:id="rId182" ref="AH54"/>
    <hyperlink r:id="rId183" ref="CI54"/>
    <hyperlink r:id="rId184" ref="A55"/>
    <hyperlink r:id="rId185" ref="F55"/>
    <hyperlink r:id="rId186" ref="AH55"/>
    <hyperlink r:id="rId187" ref="CI55"/>
    <hyperlink r:id="rId188" ref="A56"/>
    <hyperlink r:id="rId189" ref="F56"/>
    <hyperlink r:id="rId190" ref="AH56"/>
    <hyperlink r:id="rId191" ref="CI56"/>
    <hyperlink r:id="rId192" ref="A57"/>
    <hyperlink r:id="rId193" ref="F57"/>
    <hyperlink r:id="rId194" ref="AH57"/>
    <hyperlink r:id="rId195" ref="CI57"/>
    <hyperlink r:id="rId196" ref="A58"/>
    <hyperlink r:id="rId197" ref="AH58"/>
    <hyperlink r:id="rId198" ref="CI58"/>
    <hyperlink r:id="rId199" ref="A59"/>
    <hyperlink r:id="rId200" ref="AH59"/>
    <hyperlink r:id="rId201" ref="CI59"/>
    <hyperlink r:id="rId202" ref="A60"/>
    <hyperlink r:id="rId203" ref="AH60"/>
    <hyperlink r:id="rId204" ref="CI60"/>
    <hyperlink r:id="rId205" ref="A61"/>
    <hyperlink r:id="rId206" ref="AH61"/>
    <hyperlink r:id="rId207" ref="CI61"/>
    <hyperlink r:id="rId208" ref="A62"/>
    <hyperlink r:id="rId209" ref="AH62"/>
    <hyperlink r:id="rId210" ref="CI62"/>
    <hyperlink r:id="rId211" ref="A63"/>
    <hyperlink r:id="rId212" ref="AH63"/>
    <hyperlink r:id="rId213" ref="CI63"/>
    <hyperlink r:id="rId214" ref="A64"/>
    <hyperlink r:id="rId215" ref="AH64"/>
    <hyperlink r:id="rId216" ref="CI64"/>
    <hyperlink r:id="rId217" ref="A65"/>
    <hyperlink r:id="rId218" ref="AH65"/>
    <hyperlink r:id="rId219" ref="CI65"/>
    <hyperlink r:id="rId220" ref="A66"/>
    <hyperlink r:id="rId221" ref="CI66"/>
    <hyperlink r:id="rId222" ref="A67"/>
    <hyperlink r:id="rId223" ref="AH67"/>
    <hyperlink r:id="rId224" ref="CI67"/>
    <hyperlink r:id="rId225" ref="A68"/>
    <hyperlink r:id="rId226" ref="AH68"/>
    <hyperlink r:id="rId227" ref="CI68"/>
    <hyperlink r:id="rId228" ref="A69"/>
    <hyperlink r:id="rId229" ref="AH69"/>
    <hyperlink r:id="rId230" ref="CI69"/>
    <hyperlink r:id="rId231" ref="A70"/>
    <hyperlink r:id="rId232" ref="AH70"/>
    <hyperlink r:id="rId233" ref="CI70"/>
    <hyperlink r:id="rId234" ref="A71"/>
    <hyperlink r:id="rId235" ref="AH71"/>
    <hyperlink r:id="rId236" ref="CI71"/>
    <hyperlink r:id="rId237" ref="A72"/>
    <hyperlink r:id="rId238" ref="AH72"/>
    <hyperlink r:id="rId239" ref="CI72"/>
    <hyperlink r:id="rId240" ref="A73"/>
    <hyperlink r:id="rId241" ref="AH73"/>
    <hyperlink r:id="rId242" ref="CI73"/>
    <hyperlink r:id="rId243" ref="A74"/>
    <hyperlink r:id="rId244" ref="AH74"/>
    <hyperlink r:id="rId245" ref="CI74"/>
    <hyperlink r:id="rId246" ref="A75"/>
    <hyperlink r:id="rId247" ref="AH75"/>
    <hyperlink r:id="rId248" ref="CI75"/>
    <hyperlink r:id="rId249" ref="A76"/>
    <hyperlink r:id="rId250" ref="F76"/>
    <hyperlink r:id="rId251" ref="AH76"/>
    <hyperlink r:id="rId252" ref="CI76"/>
    <hyperlink r:id="rId253" ref="A77"/>
    <hyperlink r:id="rId254" ref="F77"/>
    <hyperlink r:id="rId255" ref="AH77"/>
    <hyperlink r:id="rId256" ref="CI77"/>
    <hyperlink r:id="rId257" ref="A78"/>
    <hyperlink r:id="rId258" ref="AH78"/>
    <hyperlink r:id="rId259" ref="CI78"/>
    <hyperlink r:id="rId260" ref="A79"/>
    <hyperlink r:id="rId261" ref="AH79"/>
    <hyperlink r:id="rId262" ref="CI79"/>
    <hyperlink r:id="rId263" ref="A80"/>
    <hyperlink r:id="rId264" ref="AH80"/>
    <hyperlink r:id="rId265" ref="CI80"/>
    <hyperlink r:id="rId266" ref="A81"/>
    <hyperlink r:id="rId267" ref="AH81"/>
    <hyperlink r:id="rId268" ref="CI81"/>
    <hyperlink r:id="rId269" ref="A82"/>
    <hyperlink r:id="rId270" ref="AH82"/>
    <hyperlink r:id="rId271" ref="CI82"/>
    <hyperlink r:id="rId272" ref="A83"/>
    <hyperlink r:id="rId273" ref="AH83"/>
    <hyperlink r:id="rId274" ref="CI83"/>
    <hyperlink r:id="rId275" ref="A84"/>
    <hyperlink r:id="rId276" ref="AH84"/>
    <hyperlink r:id="rId277" ref="CI84"/>
    <hyperlink r:id="rId278" ref="A85"/>
    <hyperlink r:id="rId279" ref="AH85"/>
    <hyperlink r:id="rId280" ref="CI85"/>
    <hyperlink r:id="rId281" ref="A86"/>
    <hyperlink r:id="rId282" ref="AH86"/>
    <hyperlink r:id="rId283" ref="CI86"/>
    <hyperlink r:id="rId284" ref="A87"/>
    <hyperlink r:id="rId285" ref="F87"/>
    <hyperlink r:id="rId286" ref="AH87"/>
    <hyperlink r:id="rId287" ref="CI87"/>
    <hyperlink r:id="rId288" ref="A88"/>
    <hyperlink r:id="rId289" ref="AH88"/>
    <hyperlink r:id="rId290" ref="CI88"/>
    <hyperlink r:id="rId291" ref="A89"/>
    <hyperlink r:id="rId292" ref="F89"/>
    <hyperlink r:id="rId293" ref="AH89"/>
    <hyperlink r:id="rId294" ref="CI89"/>
    <hyperlink r:id="rId295" ref="A90"/>
    <hyperlink r:id="rId296" ref="F90"/>
    <hyperlink r:id="rId297" ref="AH90"/>
    <hyperlink r:id="rId298" ref="CI90"/>
    <hyperlink r:id="rId299" ref="A91"/>
    <hyperlink r:id="rId300" ref="AH91"/>
    <hyperlink r:id="rId301" ref="CI91"/>
    <hyperlink r:id="rId302" ref="A92"/>
    <hyperlink r:id="rId303" ref="AH92"/>
    <hyperlink r:id="rId304" ref="CI92"/>
    <hyperlink r:id="rId305" ref="A93"/>
    <hyperlink r:id="rId306" ref="AH93"/>
    <hyperlink r:id="rId307" ref="CI93"/>
    <hyperlink r:id="rId308" ref="A94"/>
    <hyperlink r:id="rId309" ref="AH94"/>
    <hyperlink r:id="rId310" ref="CI94"/>
    <hyperlink r:id="rId311" ref="A95"/>
    <hyperlink r:id="rId312" ref="AH95"/>
    <hyperlink r:id="rId313" ref="CI95"/>
    <hyperlink r:id="rId314" ref="A96"/>
    <hyperlink r:id="rId315" ref="F96"/>
    <hyperlink r:id="rId316" ref="AH96"/>
    <hyperlink r:id="rId317" ref="CI96"/>
    <hyperlink r:id="rId318" ref="A97"/>
    <hyperlink r:id="rId319" ref="AH97"/>
    <hyperlink r:id="rId320" ref="CI97"/>
    <hyperlink r:id="rId321" ref="A98"/>
    <hyperlink r:id="rId322" ref="AH98"/>
    <hyperlink r:id="rId323" ref="CI98"/>
    <hyperlink r:id="rId324" ref="A99"/>
    <hyperlink r:id="rId325" ref="F99"/>
    <hyperlink r:id="rId326" ref="AH99"/>
    <hyperlink r:id="rId327" ref="CI99"/>
    <hyperlink r:id="rId328" ref="A100"/>
    <hyperlink r:id="rId329" ref="F100"/>
    <hyperlink r:id="rId330" ref="AH100"/>
    <hyperlink r:id="rId331" ref="CI100"/>
    <hyperlink r:id="rId332" ref="A101"/>
    <hyperlink r:id="rId333" ref="F101"/>
    <hyperlink r:id="rId334" ref="AH101"/>
    <hyperlink r:id="rId335" ref="CI101"/>
    <hyperlink r:id="rId336" ref="A102"/>
    <hyperlink r:id="rId337" ref="F102"/>
    <hyperlink r:id="rId338" ref="AH102"/>
    <hyperlink r:id="rId339" ref="CI102"/>
    <hyperlink r:id="rId340" ref="A103"/>
    <hyperlink r:id="rId341" ref="F103"/>
    <hyperlink r:id="rId342" ref="AH103"/>
    <hyperlink r:id="rId343" ref="CI103"/>
    <hyperlink r:id="rId344" ref="A104"/>
    <hyperlink r:id="rId345" ref="F104"/>
    <hyperlink r:id="rId346" ref="AH104"/>
    <hyperlink r:id="rId347" ref="CI104"/>
    <hyperlink r:id="rId348" ref="A105"/>
    <hyperlink r:id="rId349" ref="AH105"/>
    <hyperlink r:id="rId350" ref="CI105"/>
    <hyperlink r:id="rId351" ref="A106"/>
    <hyperlink r:id="rId352" ref="AH106"/>
    <hyperlink r:id="rId353" ref="CI106"/>
    <hyperlink r:id="rId354" ref="A107"/>
    <hyperlink r:id="rId355" ref="F107"/>
    <hyperlink r:id="rId356" ref="AH107"/>
    <hyperlink r:id="rId357" ref="CI107"/>
    <hyperlink r:id="rId358" ref="A108"/>
    <hyperlink r:id="rId359" ref="AH108"/>
    <hyperlink r:id="rId360" ref="CI108"/>
    <hyperlink r:id="rId361" ref="A109"/>
    <hyperlink r:id="rId362" ref="F109"/>
    <hyperlink r:id="rId363" ref="AH109"/>
    <hyperlink r:id="rId364" ref="CI109"/>
    <hyperlink r:id="rId365" ref="A110"/>
    <hyperlink r:id="rId366" ref="AH110"/>
    <hyperlink r:id="rId367" ref="CI110"/>
    <hyperlink r:id="rId368" ref="A111"/>
    <hyperlink r:id="rId369" ref="F111"/>
    <hyperlink r:id="rId370" ref="AH111"/>
    <hyperlink r:id="rId371" ref="CI111"/>
    <hyperlink r:id="rId372" ref="A112"/>
    <hyperlink r:id="rId373" ref="F112"/>
    <hyperlink r:id="rId374" ref="AH112"/>
    <hyperlink r:id="rId375" ref="CI112"/>
    <hyperlink r:id="rId376" ref="A113"/>
    <hyperlink r:id="rId377" ref="F113"/>
    <hyperlink r:id="rId378" ref="AH113"/>
    <hyperlink r:id="rId379" ref="CI113"/>
    <hyperlink r:id="rId380" ref="A114"/>
    <hyperlink r:id="rId381" ref="F114"/>
    <hyperlink r:id="rId382" ref="AH114"/>
    <hyperlink r:id="rId383" ref="CI114"/>
    <hyperlink r:id="rId384" ref="A115"/>
    <hyperlink r:id="rId385" ref="AH115"/>
    <hyperlink r:id="rId386" ref="CI115"/>
    <hyperlink r:id="rId387" ref="A116"/>
    <hyperlink r:id="rId388" ref="AH116"/>
    <hyperlink r:id="rId389" ref="CI116"/>
    <hyperlink r:id="rId390" ref="A117"/>
    <hyperlink r:id="rId391" ref="AH117"/>
    <hyperlink r:id="rId392" ref="CI117"/>
    <hyperlink r:id="rId393" ref="A118"/>
    <hyperlink r:id="rId394" ref="AH118"/>
    <hyperlink r:id="rId395" ref="CI118"/>
    <hyperlink r:id="rId396" ref="A119"/>
    <hyperlink r:id="rId397" ref="AH119"/>
    <hyperlink r:id="rId398" ref="CI119"/>
    <hyperlink r:id="rId399" ref="A120"/>
    <hyperlink r:id="rId400" ref="AH120"/>
    <hyperlink r:id="rId401" ref="CI120"/>
    <hyperlink r:id="rId402" ref="A121"/>
    <hyperlink r:id="rId403" ref="AH121"/>
    <hyperlink r:id="rId404" ref="CI121"/>
    <hyperlink r:id="rId405" ref="A122"/>
    <hyperlink r:id="rId406" ref="AH122"/>
    <hyperlink r:id="rId407" ref="CI122"/>
    <hyperlink r:id="rId408" ref="A123"/>
    <hyperlink r:id="rId409" ref="AH123"/>
    <hyperlink r:id="rId410" ref="CI123"/>
    <hyperlink r:id="rId411" ref="A124"/>
    <hyperlink r:id="rId412" ref="F124"/>
    <hyperlink r:id="rId413" ref="AH124"/>
    <hyperlink r:id="rId414" ref="CI124"/>
    <hyperlink r:id="rId415" ref="A125"/>
    <hyperlink r:id="rId416" ref="AH125"/>
    <hyperlink r:id="rId417" ref="CI125"/>
    <hyperlink r:id="rId418" ref="A126"/>
    <hyperlink r:id="rId419" ref="AH126"/>
    <hyperlink r:id="rId420" ref="CI126"/>
    <hyperlink r:id="rId421" ref="A127"/>
    <hyperlink r:id="rId422" ref="AH127"/>
    <hyperlink r:id="rId423" ref="CI127"/>
    <hyperlink r:id="rId424" ref="A128"/>
    <hyperlink r:id="rId425" ref="AH128"/>
    <hyperlink r:id="rId426" ref="CI128"/>
    <hyperlink r:id="rId427" ref="A129"/>
    <hyperlink r:id="rId428" ref="AH129"/>
    <hyperlink r:id="rId429" ref="CI129"/>
    <hyperlink r:id="rId430" ref="A130"/>
    <hyperlink r:id="rId431" ref="AH130"/>
    <hyperlink r:id="rId432" ref="CI130"/>
    <hyperlink r:id="rId433" ref="A131"/>
    <hyperlink r:id="rId434" ref="AH131"/>
    <hyperlink r:id="rId435" ref="CI131"/>
    <hyperlink r:id="rId436" ref="A132"/>
    <hyperlink r:id="rId437" ref="AH132"/>
    <hyperlink r:id="rId438" ref="CI132"/>
    <hyperlink r:id="rId439" ref="A133"/>
    <hyperlink r:id="rId440" ref="AH133"/>
    <hyperlink r:id="rId441" ref="CI133"/>
    <hyperlink r:id="rId442" ref="A134"/>
    <hyperlink r:id="rId443" ref="AH134"/>
    <hyperlink r:id="rId444" ref="CI134"/>
    <hyperlink r:id="rId445" ref="A135"/>
    <hyperlink r:id="rId446" ref="F135"/>
    <hyperlink r:id="rId447" ref="AH135"/>
    <hyperlink r:id="rId448" ref="CI135"/>
    <hyperlink r:id="rId449" ref="A136"/>
    <hyperlink r:id="rId450" ref="AH136"/>
    <hyperlink r:id="rId451" ref="CI136"/>
    <hyperlink r:id="rId452" ref="A137"/>
    <hyperlink r:id="rId453" ref="AH137"/>
    <hyperlink r:id="rId454" ref="CI137"/>
    <hyperlink r:id="rId455" ref="A138"/>
    <hyperlink r:id="rId456" ref="F138"/>
    <hyperlink r:id="rId457" ref="AH138"/>
    <hyperlink r:id="rId458" ref="CI138"/>
    <hyperlink r:id="rId459" ref="A139"/>
    <hyperlink r:id="rId460" ref="F139"/>
    <hyperlink r:id="rId461" ref="AH139"/>
    <hyperlink r:id="rId462" ref="CI139"/>
    <hyperlink r:id="rId463" ref="A140"/>
    <hyperlink r:id="rId464" ref="AH140"/>
    <hyperlink r:id="rId465" ref="CI140"/>
    <hyperlink r:id="rId466" ref="A141"/>
    <hyperlink r:id="rId467" ref="AH141"/>
    <hyperlink r:id="rId468" ref="CI141"/>
    <hyperlink r:id="rId469" ref="A142"/>
    <hyperlink r:id="rId470" ref="AH142"/>
    <hyperlink r:id="rId471" ref="CI142"/>
    <hyperlink r:id="rId472" ref="A143"/>
    <hyperlink r:id="rId473" ref="CI143"/>
    <hyperlink r:id="rId474" ref="A144"/>
    <hyperlink r:id="rId475" ref="CI144"/>
    <hyperlink r:id="rId476" ref="A145"/>
    <hyperlink r:id="rId477" ref="F145"/>
    <hyperlink r:id="rId478" ref="CI145"/>
    <hyperlink r:id="rId479" ref="A146"/>
    <hyperlink r:id="rId480" ref="CI146"/>
    <hyperlink r:id="rId481" ref="A147"/>
    <hyperlink r:id="rId482" ref="F147"/>
    <hyperlink r:id="rId483" ref="CI147"/>
    <hyperlink r:id="rId484" ref="A148"/>
    <hyperlink r:id="rId485" ref="F148"/>
    <hyperlink r:id="rId486" ref="CI148"/>
    <hyperlink r:id="rId487" ref="A149"/>
    <hyperlink r:id="rId488" ref="F149"/>
    <hyperlink r:id="rId489" ref="CI149"/>
    <hyperlink r:id="rId490" ref="A150"/>
    <hyperlink r:id="rId491" ref="F150"/>
    <hyperlink r:id="rId492" ref="CI150"/>
    <hyperlink r:id="rId493" ref="A151"/>
    <hyperlink r:id="rId494" ref="CI151"/>
    <hyperlink r:id="rId495" ref="A152"/>
    <hyperlink r:id="rId496" ref="CI152"/>
    <hyperlink r:id="rId497" ref="A153"/>
    <hyperlink r:id="rId498" ref="AH153"/>
    <hyperlink r:id="rId499" ref="CI153"/>
    <hyperlink r:id="rId500" ref="A154"/>
    <hyperlink r:id="rId501" ref="AH154"/>
    <hyperlink r:id="rId502" ref="CI154"/>
    <hyperlink r:id="rId503" ref="A155"/>
    <hyperlink r:id="rId504" ref="AH155"/>
    <hyperlink r:id="rId505" ref="CI155"/>
    <hyperlink r:id="rId506" ref="A156"/>
    <hyperlink r:id="rId507" ref="AH156"/>
    <hyperlink r:id="rId508" ref="CI156"/>
    <hyperlink r:id="rId509" ref="A157"/>
    <hyperlink r:id="rId510" ref="F157"/>
    <hyperlink r:id="rId511" ref="AH157"/>
    <hyperlink r:id="rId512" ref="CI157"/>
    <hyperlink r:id="rId513" ref="A158"/>
    <hyperlink r:id="rId514" ref="AH158"/>
    <hyperlink r:id="rId515" ref="CI158"/>
    <hyperlink r:id="rId516" ref="A159"/>
    <hyperlink r:id="rId517" ref="AH159"/>
    <hyperlink r:id="rId518" ref="CI159"/>
    <hyperlink r:id="rId519" ref="A160"/>
    <hyperlink r:id="rId520" ref="AH160"/>
    <hyperlink r:id="rId521" ref="CI160"/>
    <hyperlink r:id="rId522" ref="A161"/>
    <hyperlink r:id="rId523" ref="AH161"/>
    <hyperlink r:id="rId524" ref="CI161"/>
    <hyperlink r:id="rId525" ref="A162"/>
    <hyperlink r:id="rId526" ref="AH162"/>
    <hyperlink r:id="rId527" ref="CI162"/>
    <hyperlink r:id="rId528" ref="A163"/>
    <hyperlink r:id="rId529" ref="F163"/>
    <hyperlink r:id="rId530" ref="AH163"/>
    <hyperlink r:id="rId531" ref="CI163"/>
    <hyperlink r:id="rId532" ref="A164"/>
    <hyperlink r:id="rId533" ref="AH164"/>
    <hyperlink r:id="rId534" ref="CI164"/>
    <hyperlink r:id="rId535" ref="A165"/>
    <hyperlink r:id="rId536" ref="AH165"/>
    <hyperlink r:id="rId537" ref="CI165"/>
    <hyperlink r:id="rId538" ref="A166"/>
    <hyperlink r:id="rId539" ref="AH166"/>
    <hyperlink r:id="rId540" ref="CI166"/>
    <hyperlink r:id="rId541" ref="A167"/>
    <hyperlink r:id="rId542" ref="AH167"/>
    <hyperlink r:id="rId543" ref="CI167"/>
    <hyperlink r:id="rId544" ref="A168"/>
    <hyperlink r:id="rId545" ref="F168"/>
    <hyperlink r:id="rId546" ref="AH168"/>
    <hyperlink r:id="rId547" ref="CI168"/>
    <hyperlink r:id="rId548" ref="A169"/>
    <hyperlink r:id="rId549" ref="AH169"/>
    <hyperlink r:id="rId550" ref="CI169"/>
  </hyperlinks>
  <drawing r:id="rId55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